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pr 2026" sheetId="2" r:id="rId6"/>
    <sheet state="visible" name="Cetaphil - Retail" sheetId="3" r:id="rId7"/>
  </sheets>
  <definedNames>
    <definedName hidden="1" localSheetId="0" name="_xlnm._FilterDatabase">Summary!$A$6:$BZ$990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12">
      <text>
        <t xml:space="preserve">Search Brand Ads 20k
Brand max 80K</t>
      </text>
    </comment>
    <comment authorId="0" ref="M27">
      <text>
        <t xml:space="preserve">เดือนJulyเดือนสุดท้ายที่เก็บfinance fee</t>
      </text>
    </comment>
  </commentList>
</comments>
</file>

<file path=xl/sharedStrings.xml><?xml version="1.0" encoding="utf-8"?>
<sst xmlns="http://schemas.openxmlformats.org/spreadsheetml/2006/main" count="677" uniqueCount="317">
  <si>
    <t>April'26</t>
  </si>
  <si>
    <t>Claim back from customer</t>
  </si>
  <si>
    <t>Refer from INV</t>
  </si>
  <si>
    <t>1st
MKT PIC</t>
  </si>
  <si>
    <t>2nd
MKT PIC</t>
  </si>
  <si>
    <t>Final</t>
  </si>
  <si>
    <t>Final (for Brand only run ads under brand BM)</t>
  </si>
  <si>
    <t>Remark</t>
  </si>
  <si>
    <r>
      <rPr>
        <rFont val="Outfit"/>
        <b/>
        <color rgb="FFFF0000"/>
        <sz val="10.0"/>
      </rPr>
      <t>เขียนบวกทีละ invoice 
ไม่เอาเลขรวม</t>
    </r>
    <r>
      <rPr>
        <rFont val="Outfit"/>
        <b/>
        <color rgb="FFFF0000"/>
        <sz val="12.0"/>
      </rPr>
      <t xml:space="preserve">
From Ads 
Manager</t>
    </r>
  </si>
  <si>
    <t>From Ads 
Manager</t>
  </si>
  <si>
    <t>ช่องนี้ ใส่เลขจริง กับ + เท่านั้น</t>
  </si>
  <si>
    <t>BE CAREFULL !! PLEASE CROSS CHECK FORMULA WITH SATI !!!</t>
  </si>
  <si>
    <t>Filled by Marketing</t>
  </si>
  <si>
    <t>Formula</t>
  </si>
  <si>
    <t>To Fill</t>
  </si>
  <si>
    <t>Finance
To Fill</t>
  </si>
  <si>
    <t>Dream Fill</t>
  </si>
  <si>
    <t>Responsible</t>
  </si>
  <si>
    <t>MKT 
Management 
Fee (%)</t>
  </si>
  <si>
    <t>Monthly Bill to Customer</t>
  </si>
  <si>
    <t>Marketing Service Charge</t>
  </si>
  <si>
    <t>Extra Service (5)</t>
  </si>
  <si>
    <t>Campaign Package 
(KAM) (4)</t>
  </si>
  <si>
    <t>Advance credit Top Up (3)
Credit Card ONLY</t>
  </si>
  <si>
    <t>PAID Advance Ads (2)</t>
  </si>
  <si>
    <t>Cash Report
+ Fee</t>
  </si>
  <si>
    <t>Insertion</t>
  </si>
  <si>
    <t>Marketing Spending (1)</t>
  </si>
  <si>
    <t>Senior Approval</t>
  </si>
  <si>
    <t>Time stamp</t>
  </si>
  <si>
    <t xml:space="preserve">AMS actualise number
Shopee banner ads to *management fee
</t>
  </si>
  <si>
    <t>Brand</t>
  </si>
  <si>
    <t>Company Name</t>
  </si>
  <si>
    <t>Shopee AMS Payment</t>
  </si>
  <si>
    <t>MKT</t>
  </si>
  <si>
    <t>KAM</t>
  </si>
  <si>
    <t>FIN</t>
  </si>
  <si>
    <t>All - Platform</t>
  </si>
  <si>
    <t>LZD</t>
  </si>
  <si>
    <t>SHP</t>
  </si>
  <si>
    <t>TikTok</t>
  </si>
  <si>
    <t>Other</t>
  </si>
  <si>
    <t>Minimum Fee
Flate rate
(if have)</t>
  </si>
  <si>
    <t>Finance 
Fee (%)</t>
  </si>
  <si>
    <t>INV. No</t>
  </si>
  <si>
    <t>Amount
(EX - VAT)</t>
  </si>
  <si>
    <t>VAT</t>
  </si>
  <si>
    <t>TOTAL</t>
  </si>
  <si>
    <t>Finance
Fee</t>
  </si>
  <si>
    <t>Extra 
Services
(5)</t>
  </si>
  <si>
    <t>Campaign 
Package
(KAM)
(4)</t>
  </si>
  <si>
    <t>Advance Credit 
Top up
(3)</t>
  </si>
  <si>
    <t>Intrepid
PAID Advance
ADs
(2)</t>
  </si>
  <si>
    <t>Management 
Fee</t>
  </si>
  <si>
    <t>SHOPEE
Total Marketing Spending</t>
  </si>
  <si>
    <t>LAZADA Total Marketing Spending</t>
  </si>
  <si>
    <t>TIKTOK Total Marketing Spending</t>
  </si>
  <si>
    <t>FB Total Marketing Spending</t>
  </si>
  <si>
    <t>Google 
Total Marketing Spending</t>
  </si>
  <si>
    <t>Total 
Marketing
Spending
(1)</t>
  </si>
  <si>
    <t>Live 
Streaming</t>
  </si>
  <si>
    <t>KOL
Page Review
Content</t>
  </si>
  <si>
    <t>Others</t>
  </si>
  <si>
    <t>Lazada</t>
  </si>
  <si>
    <t>Shopee</t>
  </si>
  <si>
    <t>Lazada
Credit card</t>
  </si>
  <si>
    <t>Lazada 
Rebate
[Ex. VAT]</t>
  </si>
  <si>
    <t>TOTAL
Facebook Ads
[Ex. VAT]</t>
  </si>
  <si>
    <t>TOTAL
Tiktok Ads
[Ex. VAT]</t>
  </si>
  <si>
    <t>TOTAL 
Google
[Ex. VAT]</t>
  </si>
  <si>
    <t>Lazada 
Affiliate
[Ex. VAT]</t>
  </si>
  <si>
    <t>Tiktok
Affiliate
[Ex. VAT]</t>
  </si>
  <si>
    <t>Shopee 
AMS
[Ex. VAT]</t>
  </si>
  <si>
    <t>Search brand ads +
Display ads
[Ex. VAT]</t>
  </si>
  <si>
    <t>Shopee
Ads
[Ex. VAT]</t>
  </si>
  <si>
    <t>Shopee Live Ads
[Ex. VAT]</t>
  </si>
  <si>
    <t>Lazada 
Discovery
[Ex. VAT]</t>
  </si>
  <si>
    <t>Lazada 
Sponsored Max
[EX. VAT]</t>
  </si>
  <si>
    <t>Lazada
Sponsored
Display
[EX. VAT]</t>
  </si>
  <si>
    <t>FB to 
Lazada
[Ex. VAT]</t>
  </si>
  <si>
    <t>FB to 
Shopee
 [Ex. VAT]</t>
  </si>
  <si>
    <t>FB to 
Others
[Ex. VAT]</t>
  </si>
  <si>
    <t>FB to 
Website
[Ex. VAT]</t>
  </si>
  <si>
    <t>Others
[Ex. VAT]</t>
  </si>
  <si>
    <t>Tiktok
Shop Ads
[Ex. VAT]</t>
  </si>
  <si>
    <t>Tiktok
Ads Others
[Ex. VAT]</t>
  </si>
  <si>
    <t>Tiktok
Ads Credit
[Ex. VAT]</t>
  </si>
  <si>
    <t>Tiktok
Affiliate 
[Ex. VAT]</t>
  </si>
  <si>
    <t>TikTok Rebate 
[Ex. VAT]</t>
  </si>
  <si>
    <t>Google 
Total New Activity 
[Ex. VAT]</t>
  </si>
  <si>
    <t>INT</t>
  </si>
  <si>
    <t>Retails Model</t>
  </si>
  <si>
    <t>Cetaphil - Retail</t>
  </si>
  <si>
    <t>5560 Galderma (Thailand) Co., Ltd.</t>
  </si>
  <si>
    <t>Invoice + Packgage</t>
  </si>
  <si>
    <t>Amy</t>
  </si>
  <si>
    <t>New</t>
  </si>
  <si>
    <t>Pla</t>
  </si>
  <si>
    <t>Approval</t>
  </si>
  <si>
    <t>Twinings - Retail (LZD &amp; SHP)</t>
  </si>
  <si>
    <t>5029 AB Food &amp; Beverages (Thailand) Ltd.</t>
  </si>
  <si>
    <t>Win</t>
  </si>
  <si>
    <t>Pin</t>
  </si>
  <si>
    <t>Nat</t>
  </si>
  <si>
    <t>Twinings - Retail (TikTok)</t>
  </si>
  <si>
    <t>Bayer - Retail</t>
  </si>
  <si>
    <t>5627 Bayer Thai Co., Ltd</t>
  </si>
  <si>
    <t>Micky</t>
  </si>
  <si>
    <t>Mhew</t>
  </si>
  <si>
    <t>Pompam</t>
  </si>
  <si>
    <t>NIVEA - Retail (MKT)</t>
  </si>
  <si>
    <t>No need to send Invoice // Cost with Store team</t>
  </si>
  <si>
    <t>JBP</t>
  </si>
  <si>
    <t>Nan</t>
  </si>
  <si>
    <t>UnUn</t>
  </si>
  <si>
    <t>JJ</t>
  </si>
  <si>
    <t>NIVEA - Retail (Nivea club)</t>
  </si>
  <si>
    <t>Tefal - Retail (LZD &amp; SHP)</t>
  </si>
  <si>
    <t>5776 Groupe SEB (Thailand) Co., Ltd.</t>
  </si>
  <si>
    <t>Toa</t>
  </si>
  <si>
    <t>Salmon</t>
  </si>
  <si>
    <t>Tefal - Retail (TikTok)</t>
  </si>
  <si>
    <t>Colgate - Retail (Non-active)</t>
  </si>
  <si>
    <t>2256 Colgate-Palmolive (Thailand) Limited</t>
  </si>
  <si>
    <t>JBP - Half Year + Invoice</t>
  </si>
  <si>
    <t>Philips Lighting - Retails</t>
  </si>
  <si>
    <t>5783 Signify Commercial (Thailand) Limited</t>
  </si>
  <si>
    <t>Un</t>
  </si>
  <si>
    <t>Korn</t>
  </si>
  <si>
    <t>Signify x Intrepid payment tracking</t>
  </si>
  <si>
    <t>Philips Lighting - Retails (Extra Project)</t>
  </si>
  <si>
    <t>Nut</t>
  </si>
  <si>
    <t>WiZ Connected</t>
  </si>
  <si>
    <t>-</t>
  </si>
  <si>
    <t>Korn, Ball</t>
  </si>
  <si>
    <t>WiZ Connected - Retails (Extra Project)</t>
  </si>
  <si>
    <t>Philips Hue - Retails (Extra Project)</t>
  </si>
  <si>
    <t>Obagi TH</t>
  </si>
  <si>
    <t>5946 WALDENCAST (THAILAND) CO., LTD.</t>
  </si>
  <si>
    <t>Store GMV</t>
  </si>
  <si>
    <t>Fifa</t>
  </si>
  <si>
    <t>P'Bee</t>
  </si>
  <si>
    <t>JNJ - Retail (TikTok)</t>
  </si>
  <si>
    <t>5497 Johnson &amp; Johnson Consumer (Thailand) Limited</t>
  </si>
  <si>
    <t>Mew</t>
  </si>
  <si>
    <t>JNJ - Retail (SHP &amp; LZD)</t>
  </si>
  <si>
    <t>Neutrogena - Retail (TikTok)</t>
  </si>
  <si>
    <t>Haleon - Retail</t>
  </si>
  <si>
    <t>6061 Haleon Consumer Health (Thailand) Limited</t>
  </si>
  <si>
    <t>Sherbet</t>
  </si>
  <si>
    <t>Mook</t>
  </si>
  <si>
    <t>Levi's TH</t>
  </si>
  <si>
    <t>5785 Levi Strauss (Thailand) Ltd.</t>
  </si>
  <si>
    <t>Paid by brand</t>
  </si>
  <si>
    <t>Ter</t>
  </si>
  <si>
    <t>Yuii</t>
  </si>
  <si>
    <t>Ajinomoto - Retail (All existing)</t>
  </si>
  <si>
    <t>6189 Ajinomoto Sales (Thailand) Co., Ltd.</t>
  </si>
  <si>
    <t>Yok</t>
  </si>
  <si>
    <t>Ajinomoto - Retail (Amino)</t>
  </si>
  <si>
    <t>Ajinomoto - Retail (Quick Meal)</t>
  </si>
  <si>
    <t>Ajinomoto - Retail (D2C)</t>
  </si>
  <si>
    <t>Paseo</t>
  </si>
  <si>
    <t>6248 Grand Universal (Thailand) Company Limited</t>
  </si>
  <si>
    <t>Title</t>
  </si>
  <si>
    <t>Honey</t>
  </si>
  <si>
    <t>Total - Retails Model</t>
  </si>
  <si>
    <t>Consignment Model</t>
  </si>
  <si>
    <t>Rojukiss - Consign</t>
  </si>
  <si>
    <t>1001 ROJUKISS INTERNATIONAL PUBLIC COMPANY LIMITED</t>
  </si>
  <si>
    <t>Mind</t>
  </si>
  <si>
    <t>charge w/ KAM</t>
  </si>
  <si>
    <t>Total - Consignment Model</t>
  </si>
  <si>
    <t>Services Model</t>
  </si>
  <si>
    <t>Triumph</t>
  </si>
  <si>
    <r>
      <rPr>
        <rFont val="Outfit"/>
        <color theme="1"/>
      </rPr>
      <t xml:space="preserve">5169 TRIUMPH INTERNATIONAL (THAILAND) LTD. </t>
    </r>
    <r>
      <rPr>
        <rFont val="Outfit"/>
        <color theme="1"/>
      </rPr>
      <t>min</t>
    </r>
    <r>
      <rPr>
        <rFont val="Outfit"/>
        <color theme="1"/>
      </rPr>
      <t xml:space="preserve"> </t>
    </r>
    <r>
      <rPr>
        <rFont val="Outfit"/>
        <color theme="1"/>
      </rPr>
      <t>10,000</t>
    </r>
  </si>
  <si>
    <t>Grace</t>
  </si>
  <si>
    <t>Jan</t>
  </si>
  <si>
    <t>Under Armour TH</t>
  </si>
  <si>
    <t>5757 UA Sport (Thailand) Co., Ltd.</t>
  </si>
  <si>
    <t>Earn</t>
  </si>
  <si>
    <t xml:space="preserve">Oceanglass (10th due) </t>
  </si>
  <si>
    <t>5788 Ocean Glass Public Company Limited</t>
  </si>
  <si>
    <t>Run under brand BM</t>
  </si>
  <si>
    <t>SAMSUNG - CE</t>
  </si>
  <si>
    <t>5868 Thai Samsung Electronics Co., Ltd.</t>
  </si>
  <si>
    <t>BB &amp; Mil</t>
  </si>
  <si>
    <t>SAMSUNG - MX</t>
  </si>
  <si>
    <t>SC Johnson</t>
  </si>
  <si>
    <t>5916 S C Johnson &amp; Son LTD.</t>
  </si>
  <si>
    <t>NOCNOC</t>
  </si>
  <si>
    <t>5944 BETTERBE MARKETPLACE CO., LTD.</t>
  </si>
  <si>
    <t>Pound</t>
  </si>
  <si>
    <t>KAO Home &amp; Fabric Care</t>
  </si>
  <si>
    <t>6080 KAO Industrial (Thailand) Co., Ltd.</t>
  </si>
  <si>
    <t>Fern</t>
  </si>
  <si>
    <t>First</t>
  </si>
  <si>
    <t>KAO Beauty &amp; Personal Care</t>
  </si>
  <si>
    <t>Curel</t>
  </si>
  <si>
    <t>Merries</t>
  </si>
  <si>
    <t>Kohler</t>
  </si>
  <si>
    <t>6034 Kohler (Thailand) Public Company Limited</t>
  </si>
  <si>
    <t>Kohler_2025 Intrepid Marketing</t>
  </si>
  <si>
    <t>Dyson</t>
  </si>
  <si>
    <t>5914 Dyson Technology Limited</t>
  </si>
  <si>
    <t>Roger</t>
  </si>
  <si>
    <t>Romrawin Clinic</t>
  </si>
  <si>
    <t>6104 Romrawin Clinic Co., Ltd.</t>
  </si>
  <si>
    <t>Ju</t>
  </si>
  <si>
    <t>MedPark</t>
  </si>
  <si>
    <t>5232 TPP HEALTHCARE INTERNATIONAL COMPANY LIMITED</t>
  </si>
  <si>
    <t>MedPark - IVF</t>
  </si>
  <si>
    <t>MedPark IVF Co., Ltd.</t>
  </si>
  <si>
    <t>CMG - Dyson</t>
  </si>
  <si>
    <t>6231 PRO -1 Central Trading Co., Ltd. : Dyson</t>
  </si>
  <si>
    <t>CMG - Aveda</t>
  </si>
  <si>
    <t>6231  PRO -3 Central Trading Co., Ltd. : Aveda</t>
  </si>
  <si>
    <t>SharkNinja - MKT</t>
  </si>
  <si>
    <t>6265 PB Logistic Co., Ltd.</t>
  </si>
  <si>
    <t>SharkNinja - MKT (Affiliate only)</t>
  </si>
  <si>
    <t>SharkNinja - MKT (Social Commerce)</t>
  </si>
  <si>
    <t>SharkNinja - MKT (Live ads)</t>
  </si>
  <si>
    <t>CMG - Garmin</t>
  </si>
  <si>
    <t>6231: PRO -2 Central Trading Co., Ltd. : Garmin</t>
  </si>
  <si>
    <t>Sulwhasoo - Paid Advance</t>
  </si>
  <si>
    <t>6353 Amorepacific (Thailand) Limited</t>
  </si>
  <si>
    <t>Bam</t>
  </si>
  <si>
    <t>Mangpor</t>
  </si>
  <si>
    <t>Laneige - Paid Advance</t>
  </si>
  <si>
    <t>Hera - Paid Advance</t>
  </si>
  <si>
    <t>Aestura - Paid Advance</t>
  </si>
  <si>
    <t>Daily Beauty (Mise en Scene, RYO, Lilyoon) - Paid Advance</t>
  </si>
  <si>
    <t>Sulwhasoo - MKT Fee</t>
  </si>
  <si>
    <t>Laneige - MKT Fee</t>
  </si>
  <si>
    <t>Hera - MKT Fee</t>
  </si>
  <si>
    <t>Aestura - MKT Fee</t>
  </si>
  <si>
    <t>Daily Beauty (Mise en Scene, RYO, Lilyoon) - MKT Fee</t>
  </si>
  <si>
    <t>The Ordinary</t>
  </si>
  <si>
    <t>ELCA (THAILAND) LIMITED</t>
  </si>
  <si>
    <t>Bobbi Brown  - Paid Advance</t>
  </si>
  <si>
    <t>Bobbi Brown  - MKT Fee</t>
  </si>
  <si>
    <t>Sealect Tuna</t>
  </si>
  <si>
    <t>THAI UNION GROUP PUBLIC COMPANY LIMITED</t>
  </si>
  <si>
    <t>Total - Services Model</t>
  </si>
  <si>
    <t>Add-on Services</t>
  </si>
  <si>
    <t>Under Armour Tiktok</t>
  </si>
  <si>
    <t>Vida</t>
  </si>
  <si>
    <t>แนสีทื ฤ๋</t>
  </si>
  <si>
    <t>Total - Add-on Services</t>
  </si>
  <si>
    <t>Grand Total (THB)</t>
  </si>
  <si>
    <t>(USD : 32)</t>
  </si>
  <si>
    <t>Further note details**</t>
  </si>
  <si>
    <t>ADIDAS REG_2026 Intrepid Marketing</t>
  </si>
  <si>
    <t>Adidas TH</t>
  </si>
  <si>
    <t>Adidas</t>
  </si>
  <si>
    <t>Paid by Intrepid</t>
  </si>
  <si>
    <t>Yee Sin</t>
  </si>
  <si>
    <t>Adidas VN</t>
  </si>
  <si>
    <t>Adidas ID</t>
  </si>
  <si>
    <t>Adidas MY</t>
  </si>
  <si>
    <t>Adidas PH</t>
  </si>
  <si>
    <t>Adidas SG</t>
  </si>
  <si>
    <t>Marketing spending details</t>
  </si>
  <si>
    <t xml:space="preserve">Customer Name: </t>
  </si>
  <si>
    <t>Levi Strauss (Thailand) Ltd.</t>
  </si>
  <si>
    <t>From AS-&gt;BL (trừ tiktok header)</t>
  </si>
  <si>
    <t>Search brand ads +
Display ads</t>
  </si>
  <si>
    <t xml:space="preserve">Shopee
Ads
</t>
  </si>
  <si>
    <t xml:space="preserve">Shopee Live Ads
</t>
  </si>
  <si>
    <t xml:space="preserve">Shopee 
AMS
</t>
  </si>
  <si>
    <t xml:space="preserve">Lazada 
Discovery
</t>
  </si>
  <si>
    <t xml:space="preserve">Lazada 
Sponsored Max
</t>
  </si>
  <si>
    <t xml:space="preserve">Lazada 
Affiliate
</t>
  </si>
  <si>
    <t xml:space="preserve">Lazada 
Rebate
</t>
  </si>
  <si>
    <t xml:space="preserve">Lazada
Sponsored
Display
</t>
  </si>
  <si>
    <t xml:space="preserve">FB to 
Lazada
</t>
  </si>
  <si>
    <t xml:space="preserve">FB to 
Shopee
</t>
  </si>
  <si>
    <t xml:space="preserve">FB to 
Others
</t>
  </si>
  <si>
    <t xml:space="preserve">FB to 
Website
</t>
  </si>
  <si>
    <t xml:space="preserve">
Others
</t>
  </si>
  <si>
    <t xml:space="preserve">Google 
Total New Activity 
</t>
  </si>
  <si>
    <t>Total</t>
  </si>
  <si>
    <t>Marketing management fee</t>
  </si>
  <si>
    <t>of total spending</t>
  </si>
  <si>
    <t>THB (before VAT)</t>
  </si>
  <si>
    <t>From AS-&gt;BL (only tiktok header)</t>
  </si>
  <si>
    <t xml:space="preserve">Tiktok
Shop Ads
</t>
  </si>
  <si>
    <t xml:space="preserve">Tiktok
Ads Others
</t>
  </si>
  <si>
    <t>Tiktok
ads credit</t>
  </si>
  <si>
    <t xml:space="preserve">TikTok Affiliate
</t>
  </si>
  <si>
    <t>From AE-&gt; AR</t>
  </si>
  <si>
    <t>Brand name</t>
  </si>
  <si>
    <t>Nature</t>
  </si>
  <si>
    <t>Amount</t>
  </si>
  <si>
    <t>Charge back detail:-</t>
  </si>
  <si>
    <t>Channel</t>
  </si>
  <si>
    <t>Description</t>
  </si>
  <si>
    <t>Reference</t>
  </si>
  <si>
    <t>Finance fee</t>
  </si>
  <si>
    <t>Facebook</t>
  </si>
  <si>
    <t>Marketing Performance - Ad Spend Marketing digital ads FB to Lazada</t>
  </si>
  <si>
    <t>Marketing Performance - Ad Spend Marketing digital ads FB to Shopee</t>
  </si>
  <si>
    <t>Tiktok</t>
  </si>
  <si>
    <t>Marketing Performance - Ad Spend Tiktok Ads</t>
  </si>
  <si>
    <t>THTT202603278564</t>
  </si>
  <si>
    <t>THTT202603426102</t>
  </si>
  <si>
    <t>Marketing Performance - Ad Spend Lazada Affiliate</t>
  </si>
  <si>
    <t>TH1JHV8BH9</t>
  </si>
  <si>
    <t>Marketing Performance - Ad Spend Tiktok Affiliate</t>
  </si>
  <si>
    <t>TH_TT_Income_Levi's_202604</t>
  </si>
  <si>
    <t>Marketing Performance - Ad Spend Shopee Live Commission Feb'26</t>
  </si>
  <si>
    <t>[2026_00_JHP_FHP0]TH JBP 2026_Payment_Mar26_Batch 1 - Silver - Other Credits-559173140700504064 - Other Credits</t>
  </si>
  <si>
    <t>[2026_00_JHP_FHP0]TH JBP 2026_Payment_Mar26_Batch 1 - Silver - Cash-559173140700504064 - Cash</t>
  </si>
  <si>
    <t>[2026_00_JHP_FHP0]TH JBP 2026_Payment_Mar26_Batch 1 - Silver - Affiliates (AMS)-559173140700504064 - Affiliates (AMS)</t>
  </si>
  <si>
    <t>LSS Credit and Seller Virtual Credit Top-up forJBP+ TH1JHV8BH9 Apr-Jun 2026</t>
  </si>
  <si>
    <t>TH_100203090829_1468_202604_202606</t>
  </si>
  <si>
    <t>Total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</si>
</sst>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 &quot;mmm&quot; &quot;yy&quot; &quot;hh&quot;:&quot;mm&quot;:&quot;ss"/>
    <numFmt numFmtId="165" formatCode="0.0%"/>
    <numFmt numFmtId="166" formatCode="_(* #,##0.00_);_(* \(#,##0.00\);_(* &quot;-&quot;??_);_(@_)"/>
  </numFmts>
  <fonts count="37">
    <font>
      <sz val="10.0"/>
      <color rgb="FF000000"/>
      <name val="Arial"/>
      <scheme val="minor"/>
    </font>
    <font>
      <b/>
      <sz val="27.0"/>
      <color rgb="FFFFFFFF"/>
      <name val="Outfit"/>
    </font>
    <font>
      <color theme="1"/>
      <name val="Arial"/>
    </font>
    <font>
      <b/>
      <sz val="13.0"/>
      <color theme="1"/>
      <name val="Outfit"/>
    </font>
    <font/>
    <font>
      <b/>
      <sz val="14.0"/>
      <color rgb="FFFF0000"/>
      <name val="Outfit"/>
    </font>
    <font>
      <sz val="13.0"/>
      <color theme="1"/>
      <name val="Outfit"/>
    </font>
    <font>
      <b/>
      <sz val="13.0"/>
      <color rgb="FFEA4335"/>
      <name val="Outfit"/>
    </font>
    <font>
      <b/>
      <sz val="12.0"/>
      <color rgb="FFFF0000"/>
      <name val="Outfit"/>
    </font>
    <font>
      <b/>
      <sz val="13.0"/>
      <color rgb="FFFF0000"/>
      <name val="Outfit"/>
    </font>
    <font>
      <color theme="1"/>
      <name val="Arial"/>
      <scheme val="minor"/>
    </font>
    <font>
      <b/>
      <sz val="21.0"/>
      <color rgb="FFFFFFFF"/>
      <name val="Outfit"/>
    </font>
    <font>
      <b/>
      <sz val="11.0"/>
      <color theme="1"/>
      <name val="Outfit"/>
    </font>
    <font>
      <b/>
      <sz val="14.0"/>
      <color rgb="FFFFFFFF"/>
      <name val="Outfit"/>
    </font>
    <font>
      <b/>
      <color theme="1"/>
      <name val="Outfit"/>
    </font>
    <font>
      <b/>
      <sz val="12.0"/>
      <color theme="1"/>
      <name val="Outfit"/>
    </font>
    <font>
      <b/>
      <sz val="14.0"/>
      <color theme="1"/>
      <name val="Outfit"/>
    </font>
    <font>
      <b/>
      <sz val="12.0"/>
      <color rgb="FFF8F9FA"/>
      <name val="Outfit"/>
    </font>
    <font>
      <color rgb="FFFFFFFF"/>
      <name val="Outfit"/>
    </font>
    <font>
      <b/>
      <sz val="12.0"/>
      <color rgb="FF660000"/>
      <name val="Outfit"/>
    </font>
    <font>
      <b/>
      <sz val="12.0"/>
      <color rgb="FF666666"/>
      <name val="Outfit"/>
    </font>
    <font>
      <b/>
      <sz val="12.0"/>
      <color rgb="FF741B47"/>
      <name val="Outfit"/>
    </font>
    <font>
      <b/>
      <sz val="12.0"/>
      <color rgb="FFFFFFFF"/>
      <name val="Outfit"/>
    </font>
    <font>
      <b/>
      <sz val="14.0"/>
      <color rgb="FFF8F9FA"/>
      <name val="Outfit"/>
    </font>
    <font>
      <color theme="1"/>
      <name val="Outfit"/>
    </font>
    <font>
      <b/>
      <color rgb="FFFF0000"/>
      <name val="Outfit"/>
    </font>
    <font>
      <color rgb="FFFF0000"/>
      <name val="Outfit"/>
    </font>
    <font>
      <sz val="11.0"/>
      <color theme="1"/>
      <name val="Outfit"/>
    </font>
    <font>
      <b/>
      <color rgb="FFFFFFFF"/>
      <name val="Outfit"/>
    </font>
    <font>
      <u/>
      <color theme="1"/>
      <name val="Outfit"/>
    </font>
    <font>
      <u/>
      <color theme="1"/>
      <name val="Outfit"/>
    </font>
    <font>
      <b/>
      <u/>
      <color theme="1"/>
      <name val="Outfit"/>
    </font>
    <font>
      <b/>
      <color theme="1"/>
      <name val="Arial"/>
    </font>
    <font>
      <sz val="11.0"/>
      <color theme="1"/>
      <name val="Arial"/>
    </font>
    <font>
      <b/>
      <color rgb="FFFFFFFF"/>
      <name val="Arial"/>
    </font>
    <font>
      <b/>
      <color rgb="FFFF0000"/>
      <name val="Arial"/>
    </font>
    <font>
      <sz val="11.0"/>
      <color rgb="FF000000"/>
      <name val="&quot;Aptos Narrow&quot;"/>
    </font>
  </fonts>
  <fills count="35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20124D"/>
        <bgColor rgb="FF20124D"/>
      </patternFill>
    </fill>
    <fill>
      <patternFill patternType="solid">
        <fgColor rgb="FF990000"/>
        <bgColor rgb="FF990000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4335"/>
        <bgColor rgb="FFEA4335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7CAAC"/>
        <bgColor rgb="FFF7CAAC"/>
      </patternFill>
    </fill>
    <fill>
      <patternFill patternType="solid">
        <fgColor rgb="FFD8D8D8"/>
        <bgColor rgb="FFD8D8D8"/>
      </patternFill>
    </fill>
  </fills>
  <borders count="9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/>
      <right/>
      <top/>
      <bottom style="double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9" xfId="0" applyFont="1" applyNumberFormat="1"/>
    <xf borderId="0" fillId="3" fontId="2" numFmtId="3" xfId="0" applyFill="1" applyFont="1" applyNumberFormat="1"/>
    <xf borderId="0" fillId="3" fontId="2" numFmtId="0" xfId="0" applyFont="1"/>
    <xf borderId="0" fillId="3" fontId="2" numFmtId="4" xfId="0" applyFont="1" applyNumberFormat="1"/>
    <xf borderId="1" fillId="4" fontId="2" numFmtId="0" xfId="0" applyBorder="1" applyFill="1" applyFont="1"/>
    <xf borderId="2" fillId="4" fontId="2" numFmtId="0" xfId="0" applyBorder="1" applyFont="1"/>
    <xf borderId="3" fillId="4" fontId="2" numFmtId="0" xfId="0" applyBorder="1" applyFont="1"/>
    <xf borderId="2" fillId="4" fontId="3" numFmtId="0" xfId="0" applyAlignment="1" applyBorder="1" applyFont="1">
      <alignment horizontal="center"/>
    </xf>
    <xf borderId="2" fillId="0" fontId="4" numFmtId="0" xfId="0" applyBorder="1" applyFont="1"/>
    <xf borderId="0" fillId="3" fontId="5" numFmtId="3" xfId="0" applyAlignment="1" applyFont="1" applyNumberFormat="1">
      <alignment horizontal="center" shrinkToFit="0" wrapText="1"/>
    </xf>
    <xf borderId="4" fillId="3" fontId="2" numFmtId="0" xfId="0" applyBorder="1" applyFont="1"/>
    <xf borderId="0" fillId="0" fontId="2" numFmtId="0" xfId="0" applyAlignment="1" applyFont="1">
      <alignment vertical="bottom"/>
    </xf>
    <xf borderId="0" fillId="3" fontId="6" numFmtId="0" xfId="0" applyFont="1"/>
    <xf borderId="0" fillId="3" fontId="3" numFmtId="0" xfId="0" applyFont="1"/>
    <xf borderId="0" fillId="5" fontId="2" numFmtId="4" xfId="0" applyFill="1" applyFont="1" applyNumberFormat="1"/>
    <xf borderId="0" fillId="6" fontId="7" numFmtId="0" xfId="0" applyFill="1" applyFont="1"/>
    <xf borderId="0" fillId="7" fontId="7" numFmtId="0" xfId="0" applyAlignment="1" applyFill="1" applyFont="1">
      <alignment shrinkToFit="0" wrapText="1"/>
    </xf>
    <xf borderId="0" fillId="8" fontId="7" numFmtId="0" xfId="0" applyFill="1" applyFont="1"/>
    <xf borderId="0" fillId="3" fontId="8" numFmtId="3" xfId="0" applyAlignment="1" applyFont="1" applyNumberFormat="1">
      <alignment horizontal="center" shrinkToFit="0" wrapText="1"/>
    </xf>
    <xf borderId="0" fillId="3" fontId="9" numFmtId="3" xfId="0" applyAlignment="1" applyFont="1" applyNumberFormat="1">
      <alignment horizontal="center"/>
    </xf>
    <xf borderId="0" fillId="0" fontId="2" numFmtId="3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10" numFmtId="0" xfId="0" applyFont="1"/>
    <xf borderId="0" fillId="0" fontId="2" numFmtId="2" xfId="0" applyFont="1" applyNumberFormat="1"/>
    <xf borderId="0" fillId="9" fontId="11" numFmtId="0" xfId="0" applyAlignment="1" applyFill="1" applyFont="1">
      <alignment horizontal="center"/>
    </xf>
    <xf borderId="4" fillId="0" fontId="4" numFmtId="0" xfId="0" applyBorder="1" applyFont="1"/>
    <xf borderId="5" fillId="10" fontId="2" numFmtId="3" xfId="0" applyBorder="1" applyFill="1" applyFont="1" applyNumberFormat="1"/>
    <xf borderId="0" fillId="10" fontId="2" numFmtId="3" xfId="0" applyFont="1" applyNumberFormat="1"/>
    <xf borderId="4" fillId="10" fontId="2" numFmtId="3" xfId="0" applyBorder="1" applyFont="1" applyNumberFormat="1"/>
    <xf borderId="6" fillId="10" fontId="2" numFmtId="3" xfId="0" applyBorder="1" applyFont="1" applyNumberFormat="1"/>
    <xf borderId="0" fillId="10" fontId="12" numFmtId="3" xfId="0" applyAlignment="1" applyFont="1" applyNumberFormat="1">
      <alignment horizontal="center"/>
    </xf>
    <xf borderId="0" fillId="0" fontId="2" numFmtId="3" xfId="0" applyFont="1" applyNumberFormat="1"/>
    <xf borderId="2" fillId="11" fontId="13" numFmtId="0" xfId="0" applyAlignment="1" applyBorder="1" applyFill="1" applyFont="1">
      <alignment horizontal="center"/>
    </xf>
    <xf borderId="2" fillId="11" fontId="2" numFmtId="0" xfId="0" applyBorder="1" applyFont="1"/>
    <xf borderId="2" fillId="11" fontId="13" numFmtId="4" xfId="0" applyAlignment="1" applyBorder="1" applyFont="1" applyNumberFormat="1">
      <alignment horizontal="center"/>
    </xf>
    <xf borderId="2" fillId="11" fontId="2" numFmtId="4" xfId="0" applyBorder="1" applyFont="1" applyNumberFormat="1"/>
    <xf borderId="3" fillId="11" fontId="13" numFmtId="0" xfId="0" applyAlignment="1" applyBorder="1" applyFont="1">
      <alignment horizontal="center"/>
    </xf>
    <xf borderId="1" fillId="12" fontId="13" numFmtId="0" xfId="0" applyAlignment="1" applyBorder="1" applyFill="1" applyFont="1">
      <alignment horizontal="center"/>
    </xf>
    <xf borderId="2" fillId="12" fontId="13" numFmtId="0" xfId="0" applyAlignment="1" applyBorder="1" applyFont="1">
      <alignment horizontal="center"/>
    </xf>
    <xf borderId="3" fillId="12" fontId="13" numFmtId="0" xfId="0" applyAlignment="1" applyBorder="1" applyFont="1">
      <alignment horizontal="center"/>
    </xf>
    <xf borderId="1" fillId="11" fontId="13" numFmtId="0" xfId="0" applyAlignment="1" applyBorder="1" applyFont="1">
      <alignment horizontal="center"/>
    </xf>
    <xf borderId="2" fillId="2" fontId="13" numFmtId="0" xfId="0" applyAlignment="1" applyBorder="1" applyFont="1">
      <alignment horizontal="center"/>
    </xf>
    <xf borderId="7" fillId="12" fontId="13" numFmtId="0" xfId="0" applyAlignment="1" applyBorder="1" applyFont="1">
      <alignment horizontal="center"/>
    </xf>
    <xf borderId="2" fillId="12" fontId="2" numFmtId="0" xfId="0" applyBorder="1" applyFont="1"/>
    <xf borderId="8" fillId="13" fontId="2" numFmtId="0" xfId="0" applyBorder="1" applyFill="1" applyFont="1"/>
    <xf borderId="8" fillId="13" fontId="2" numFmtId="3" xfId="0" applyBorder="1" applyFont="1" applyNumberFormat="1"/>
    <xf borderId="9" fillId="13" fontId="2" numFmtId="3" xfId="0" applyBorder="1" applyFont="1" applyNumberFormat="1"/>
    <xf borderId="10" fillId="13" fontId="14" numFmtId="3" xfId="0" applyAlignment="1" applyBorder="1" applyFont="1" applyNumberFormat="1">
      <alignment horizontal="center"/>
    </xf>
    <xf borderId="8" fillId="0" fontId="4" numFmtId="0" xfId="0" applyBorder="1" applyFont="1"/>
    <xf borderId="11" fillId="0" fontId="4" numFmtId="0" xfId="0" applyBorder="1" applyFont="1"/>
    <xf borderId="10" fillId="14" fontId="2" numFmtId="2" xfId="0" applyBorder="1" applyFill="1" applyFont="1" applyNumberFormat="1"/>
    <xf borderId="10" fillId="14" fontId="15" numFmtId="2" xfId="0" applyAlignment="1" applyBorder="1" applyFont="1" applyNumberFormat="1">
      <alignment horizontal="center"/>
    </xf>
    <xf borderId="12" fillId="8" fontId="16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0" fillId="4" fontId="16" numFmtId="3" xfId="0" applyAlignment="1" applyBorder="1" applyFont="1" applyNumberFormat="1">
      <alignment horizontal="center"/>
    </xf>
    <xf borderId="10" fillId="15" fontId="16" numFmtId="0" xfId="0" applyAlignment="1" applyBorder="1" applyFill="1" applyFont="1">
      <alignment horizontal="center"/>
    </xf>
    <xf borderId="1" fillId="4" fontId="16" numFmtId="0" xfId="0" applyAlignment="1" applyBorder="1" applyFont="1">
      <alignment horizontal="center"/>
    </xf>
    <xf borderId="3" fillId="0" fontId="4" numFmtId="0" xfId="0" applyBorder="1" applyFont="1"/>
    <xf borderId="5" fillId="4" fontId="16" numFmtId="0" xfId="0" applyAlignment="1" applyBorder="1" applyFont="1">
      <alignment horizontal="center"/>
    </xf>
    <xf borderId="13" fillId="4" fontId="16" numFmtId="0" xfId="0" applyAlignment="1" applyBorder="1" applyFont="1">
      <alignment horizontal="center"/>
    </xf>
    <xf borderId="14" fillId="4" fontId="16" numFmtId="0" xfId="0" applyAlignment="1" applyBorder="1" applyFont="1">
      <alignment horizontal="center"/>
    </xf>
    <xf borderId="15" fillId="16" fontId="16" numFmtId="0" xfId="0" applyAlignment="1" applyBorder="1" applyFill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5" fillId="9" fontId="17" numFmtId="0" xfId="0" applyAlignment="1" applyBorder="1" applyFont="1">
      <alignment horizontal="center" shrinkToFit="0" wrapText="1"/>
    </xf>
    <xf borderId="0" fillId="9" fontId="17" numFmtId="0" xfId="0" applyAlignment="1" applyFont="1">
      <alignment horizontal="center" shrinkToFit="0" wrapText="1"/>
    </xf>
    <xf borderId="0" fillId="17" fontId="18" numFmtId="0" xfId="0" applyFill="1" applyFont="1"/>
    <xf borderId="0" fillId="9" fontId="2" numFmtId="0" xfId="0" applyFont="1"/>
    <xf borderId="17" fillId="13" fontId="12" numFmtId="4" xfId="0" applyBorder="1" applyFont="1" applyNumberFormat="1"/>
    <xf borderId="17" fillId="13" fontId="12" numFmtId="4" xfId="0" applyAlignment="1" applyBorder="1" applyFont="1" applyNumberFormat="1">
      <alignment horizontal="center"/>
    </xf>
    <xf borderId="18" fillId="13" fontId="14" numFmtId="4" xfId="0" applyAlignment="1" applyBorder="1" applyFont="1" applyNumberFormat="1">
      <alignment horizontal="center" shrinkToFit="0" wrapText="1"/>
    </xf>
    <xf borderId="19" fillId="13" fontId="14" numFmtId="4" xfId="0" applyAlignment="1" applyBorder="1" applyFont="1" applyNumberFormat="1">
      <alignment horizontal="center"/>
    </xf>
    <xf borderId="20" fillId="13" fontId="14" numFmtId="4" xfId="0" applyAlignment="1" applyBorder="1" applyFont="1" applyNumberFormat="1">
      <alignment horizontal="center"/>
    </xf>
    <xf borderId="21" fillId="13" fontId="14" numFmtId="4" xfId="0" applyAlignment="1" applyBorder="1" applyFont="1" applyNumberFormat="1">
      <alignment horizontal="center"/>
    </xf>
    <xf borderId="17" fillId="13" fontId="14" numFmtId="4" xfId="0" applyAlignment="1" applyBorder="1" applyFont="1" applyNumberFormat="1">
      <alignment horizontal="center" shrinkToFit="0" wrapText="1"/>
    </xf>
    <xf borderId="17" fillId="13" fontId="14" numFmtId="4" xfId="0" applyAlignment="1" applyBorder="1" applyFont="1" applyNumberFormat="1">
      <alignment horizontal="center"/>
    </xf>
    <xf borderId="22" fillId="14" fontId="19" numFmtId="2" xfId="0" applyAlignment="1" applyBorder="1" applyFont="1" applyNumberFormat="1">
      <alignment horizontal="center"/>
    </xf>
    <xf borderId="17" fillId="14" fontId="20" numFmtId="2" xfId="0" applyAlignment="1" applyBorder="1" applyFont="1" applyNumberFormat="1">
      <alignment horizontal="center"/>
    </xf>
    <xf borderId="21" fillId="14" fontId="20" numFmtId="2" xfId="0" applyAlignment="1" applyBorder="1" applyFont="1" applyNumberFormat="1">
      <alignment horizontal="center"/>
    </xf>
    <xf borderId="23" fillId="8" fontId="21" numFmtId="3" xfId="0" applyAlignment="1" applyBorder="1" applyFont="1" applyNumberFormat="1">
      <alignment horizontal="center"/>
    </xf>
    <xf borderId="23" fillId="8" fontId="21" numFmtId="3" xfId="0" applyAlignment="1" applyBorder="1" applyFont="1" applyNumberFormat="1">
      <alignment horizontal="center" shrinkToFit="0" wrapText="1"/>
    </xf>
    <xf borderId="23" fillId="8" fontId="21" numFmtId="4" xfId="0" applyAlignment="1" applyBorder="1" applyFont="1" applyNumberFormat="1">
      <alignment horizontal="center"/>
    </xf>
    <xf borderId="23" fillId="18" fontId="22" numFmtId="3" xfId="0" applyAlignment="1" applyBorder="1" applyFill="1" applyFont="1" applyNumberFormat="1">
      <alignment horizontal="center" shrinkToFit="0" vertical="bottom" wrapText="1"/>
    </xf>
    <xf borderId="23" fillId="19" fontId="17" numFmtId="4" xfId="0" applyAlignment="1" applyBorder="1" applyFill="1" applyFont="1" applyNumberFormat="1">
      <alignment horizontal="center" shrinkToFit="0" vertical="bottom" wrapText="1"/>
    </xf>
    <xf borderId="23" fillId="20" fontId="17" numFmtId="3" xfId="0" applyAlignment="1" applyBorder="1" applyFill="1" applyFont="1" applyNumberFormat="1">
      <alignment horizontal="center" shrinkToFit="0" vertical="bottom" wrapText="1"/>
    </xf>
    <xf borderId="17" fillId="21" fontId="17" numFmtId="3" xfId="0" applyAlignment="1" applyBorder="1" applyFill="1" applyFont="1" applyNumberFormat="1">
      <alignment horizontal="center" shrinkToFit="0" vertical="bottom" wrapText="1"/>
    </xf>
    <xf borderId="17" fillId="22" fontId="17" numFmtId="3" xfId="0" applyAlignment="1" applyBorder="1" applyFill="1" applyFont="1" applyNumberFormat="1">
      <alignment horizontal="center" shrinkToFit="0" vertical="bottom" wrapText="1"/>
    </xf>
    <xf borderId="24" fillId="8" fontId="21" numFmtId="4" xfId="0" applyAlignment="1" applyBorder="1" applyFont="1" applyNumberFormat="1">
      <alignment horizontal="center"/>
    </xf>
    <xf borderId="25" fillId="23" fontId="22" numFmtId="3" xfId="0" applyAlignment="1" applyBorder="1" applyFill="1" applyFont="1" applyNumberFormat="1">
      <alignment horizontal="center"/>
    </xf>
    <xf borderId="23" fillId="23" fontId="22" numFmtId="3" xfId="0" applyAlignment="1" applyBorder="1" applyFont="1" applyNumberFormat="1">
      <alignment horizontal="center"/>
    </xf>
    <xf borderId="24" fillId="23" fontId="22" numFmtId="3" xfId="0" applyAlignment="1" applyBorder="1" applyFont="1" applyNumberFormat="1">
      <alignment horizontal="center"/>
    </xf>
    <xf borderId="25" fillId="19" fontId="17" numFmtId="4" xfId="0" applyAlignment="1" applyBorder="1" applyFont="1" applyNumberFormat="1">
      <alignment horizontal="center"/>
    </xf>
    <xf borderId="21" fillId="18" fontId="22" numFmtId="3" xfId="0" applyAlignment="1" applyBorder="1" applyFont="1" applyNumberFormat="1">
      <alignment horizontal="center"/>
    </xf>
    <xf borderId="22" fillId="19" fontId="17" numFmtId="4" xfId="0" applyAlignment="1" applyBorder="1" applyFont="1" applyNumberFormat="1">
      <alignment horizontal="center" shrinkToFit="0" wrapText="1"/>
    </xf>
    <xf borderId="17" fillId="24" fontId="17" numFmtId="3" xfId="0" applyAlignment="1" applyBorder="1" applyFill="1" applyFont="1" applyNumberFormat="1">
      <alignment horizontal="center"/>
    </xf>
    <xf borderId="26" fillId="23" fontId="22" numFmtId="3" xfId="0" applyAlignment="1" applyBorder="1" applyFont="1" applyNumberFormat="1">
      <alignment horizontal="center"/>
    </xf>
    <xf borderId="27" fillId="20" fontId="17" numFmtId="3" xfId="0" applyAlignment="1" applyBorder="1" applyFont="1" applyNumberFormat="1">
      <alignment horizontal="center"/>
    </xf>
    <xf borderId="28" fillId="22" fontId="22" numFmtId="3" xfId="0" applyAlignment="1" applyBorder="1" applyFont="1" applyNumberFormat="1">
      <alignment horizontal="center" shrinkToFit="0" wrapText="1"/>
    </xf>
    <xf borderId="23" fillId="19" fontId="17" numFmtId="3" xfId="0" applyAlignment="1" applyBorder="1" applyFont="1" applyNumberFormat="1">
      <alignment horizontal="center"/>
    </xf>
    <xf borderId="23" fillId="20" fontId="17" numFmtId="3" xfId="0" applyAlignment="1" applyBorder="1" applyFont="1" applyNumberFormat="1">
      <alignment horizontal="center"/>
    </xf>
    <xf borderId="24" fillId="25" fontId="17" numFmtId="4" xfId="0" applyAlignment="1" applyBorder="1" applyFill="1" applyFont="1" applyNumberFormat="1">
      <alignment horizontal="center"/>
    </xf>
    <xf borderId="17" fillId="25" fontId="17" numFmtId="4" xfId="0" applyAlignment="1" applyBorder="1" applyFont="1" applyNumberFormat="1">
      <alignment horizontal="center" shrinkToFit="0" wrapText="1"/>
    </xf>
    <xf borderId="17" fillId="19" fontId="17" numFmtId="4" xfId="0" applyAlignment="1" applyBorder="1" applyFont="1" applyNumberFormat="1">
      <alignment horizontal="center"/>
    </xf>
    <xf borderId="17" fillId="19" fontId="17" numFmtId="4" xfId="0" applyAlignment="1" applyBorder="1" applyFont="1" applyNumberFormat="1">
      <alignment horizontal="center" shrinkToFit="0" wrapText="1"/>
    </xf>
    <xf borderId="23" fillId="24" fontId="17" numFmtId="3" xfId="0" applyAlignment="1" applyBorder="1" applyFont="1" applyNumberFormat="1">
      <alignment horizontal="center"/>
    </xf>
    <xf borderId="29" fillId="19" fontId="17" numFmtId="3" xfId="0" applyAlignment="1" applyBorder="1" applyFont="1" applyNumberFormat="1">
      <alignment horizontal="center"/>
    </xf>
    <xf borderId="30" fillId="21" fontId="17" numFmtId="0" xfId="0" applyAlignment="1" applyBorder="1" applyFont="1">
      <alignment horizontal="center"/>
    </xf>
    <xf borderId="17" fillId="21" fontId="17" numFmtId="0" xfId="0" applyAlignment="1" applyBorder="1" applyFont="1">
      <alignment horizontal="center"/>
    </xf>
    <xf borderId="17" fillId="21" fontId="17" numFmtId="3" xfId="0" applyAlignment="1" applyBorder="1" applyFont="1" applyNumberFormat="1">
      <alignment horizontal="center"/>
    </xf>
    <xf borderId="17" fillId="26" fontId="17" numFmtId="3" xfId="0" applyAlignment="1" applyBorder="1" applyFill="1" applyFont="1" applyNumberFormat="1">
      <alignment horizontal="center"/>
    </xf>
    <xf borderId="0" fillId="20" fontId="17" numFmtId="3" xfId="0" applyAlignment="1" applyFont="1" applyNumberFormat="1">
      <alignment horizontal="center"/>
    </xf>
    <xf borderId="0" fillId="27" fontId="17" numFmtId="3" xfId="0" applyAlignment="1" applyFill="1" applyFont="1" applyNumberFormat="1">
      <alignment horizontal="center" shrinkToFit="0" wrapText="1"/>
    </xf>
    <xf borderId="17" fillId="22" fontId="17" numFmtId="3" xfId="0" applyAlignment="1" applyBorder="1" applyFont="1" applyNumberFormat="1">
      <alignment horizontal="center" shrinkToFit="0" wrapText="1"/>
    </xf>
    <xf borderId="5" fillId="0" fontId="4" numFmtId="0" xfId="0" applyBorder="1" applyFont="1"/>
    <xf borderId="0" fillId="0" fontId="15" numFmtId="0" xfId="0" applyAlignment="1" applyFont="1">
      <alignment horizontal="center"/>
    </xf>
    <xf borderId="1" fillId="28" fontId="23" numFmtId="4" xfId="0" applyBorder="1" applyFill="1" applyFont="1" applyNumberFormat="1"/>
    <xf borderId="2" fillId="28" fontId="2" numFmtId="0" xfId="0" applyBorder="1" applyFont="1"/>
    <xf borderId="31" fillId="28" fontId="2" numFmtId="0" xfId="0" applyBorder="1" applyFont="1"/>
    <xf borderId="32" fillId="28" fontId="2" numFmtId="0" xfId="0" applyBorder="1" applyFont="1"/>
    <xf borderId="33" fillId="28" fontId="2" numFmtId="0" xfId="0" applyBorder="1" applyFont="1"/>
    <xf borderId="3" fillId="28" fontId="2" numFmtId="0" xfId="0" applyBorder="1" applyFont="1"/>
    <xf borderId="2" fillId="28" fontId="2" numFmtId="9" xfId="0" applyBorder="1" applyFont="1" applyNumberFormat="1"/>
    <xf borderId="1" fillId="28" fontId="2" numFmtId="4" xfId="0" applyBorder="1" applyFont="1" applyNumberFormat="1"/>
    <xf borderId="2" fillId="28" fontId="2" numFmtId="4" xfId="0" applyBorder="1" applyFont="1" applyNumberFormat="1"/>
    <xf borderId="3" fillId="28" fontId="2" numFmtId="4" xfId="0" applyBorder="1" applyFont="1" applyNumberFormat="1"/>
    <xf borderId="0" fillId="28" fontId="2" numFmtId="4" xfId="0" applyFont="1" applyNumberFormat="1"/>
    <xf borderId="7" fillId="28" fontId="2" numFmtId="4" xfId="0" applyBorder="1" applyFont="1" applyNumberFormat="1"/>
    <xf borderId="34" fillId="28" fontId="2" numFmtId="4" xfId="0" applyBorder="1" applyFont="1" applyNumberFormat="1"/>
    <xf borderId="5" fillId="28" fontId="2" numFmtId="4" xfId="0" applyBorder="1" applyFont="1" applyNumberFormat="1"/>
    <xf borderId="0" fillId="0" fontId="2" numFmtId="4" xfId="0" applyFont="1" applyNumberFormat="1"/>
    <xf borderId="35" fillId="21" fontId="22" numFmtId="4" xfId="0" applyBorder="1" applyFont="1" applyNumberFormat="1"/>
    <xf borderId="15" fillId="21" fontId="2" numFmtId="0" xfId="0" applyBorder="1" applyFont="1"/>
    <xf borderId="36" fillId="21" fontId="2" numFmtId="0" xfId="0" applyBorder="1" applyFont="1"/>
    <xf borderId="37" fillId="21" fontId="2" numFmtId="0" xfId="0" applyBorder="1" applyFont="1"/>
    <xf borderId="38" fillId="21" fontId="2" numFmtId="0" xfId="0" applyBorder="1" applyFont="1"/>
    <xf borderId="16" fillId="21" fontId="2" numFmtId="0" xfId="0" applyBorder="1" applyFont="1"/>
    <xf borderId="15" fillId="21" fontId="2" numFmtId="9" xfId="0" applyBorder="1" applyFont="1" applyNumberFormat="1"/>
    <xf borderId="15" fillId="21" fontId="2" numFmtId="3" xfId="0" applyBorder="1" applyFont="1" applyNumberFormat="1"/>
    <xf borderId="16" fillId="21" fontId="2" numFmtId="3" xfId="0" applyBorder="1" applyFont="1" applyNumberFormat="1"/>
    <xf borderId="35" fillId="21" fontId="2" numFmtId="4" xfId="0" applyBorder="1" applyFont="1" applyNumberFormat="1"/>
    <xf borderId="35" fillId="21" fontId="2" numFmtId="3" xfId="0" applyBorder="1" applyFont="1" applyNumberFormat="1"/>
    <xf borderId="15" fillId="21" fontId="2" numFmtId="4" xfId="0" applyBorder="1" applyFont="1" applyNumberFormat="1"/>
    <xf borderId="16" fillId="21" fontId="2" numFmtId="4" xfId="0" applyBorder="1" applyFont="1" applyNumberFormat="1"/>
    <xf borderId="0" fillId="21" fontId="2" numFmtId="4" xfId="0" applyFont="1" applyNumberFormat="1"/>
    <xf borderId="39" fillId="21" fontId="2" numFmtId="4" xfId="0" applyBorder="1" applyFont="1" applyNumberFormat="1"/>
    <xf borderId="40" fillId="21" fontId="2" numFmtId="4" xfId="0" applyBorder="1" applyFont="1" applyNumberFormat="1"/>
    <xf borderId="5" fillId="21" fontId="2" numFmtId="4" xfId="0" applyBorder="1" applyFont="1" applyNumberFormat="1"/>
    <xf borderId="5" fillId="0" fontId="24" numFmtId="4" xfId="0" applyBorder="1" applyFont="1" applyNumberFormat="1"/>
    <xf borderId="0" fillId="3" fontId="24" numFmtId="0" xfId="0" applyFont="1"/>
    <xf borderId="41" fillId="3" fontId="24" numFmtId="0" xfId="0" applyAlignment="1" applyBorder="1" applyFont="1">
      <alignment horizontal="center"/>
    </xf>
    <xf borderId="6" fillId="3" fontId="24" numFmtId="0" xfId="0" applyAlignment="1" applyBorder="1" applyFont="1">
      <alignment horizontal="center"/>
    </xf>
    <xf borderId="42" fillId="3" fontId="24" numFmtId="0" xfId="0" applyAlignment="1" applyBorder="1" applyFont="1">
      <alignment horizontal="center"/>
    </xf>
    <xf borderId="4" fillId="0" fontId="24" numFmtId="0" xfId="0" applyAlignment="1" applyBorder="1" applyFont="1">
      <alignment horizontal="center"/>
    </xf>
    <xf borderId="0" fillId="0" fontId="24" numFmtId="9" xfId="0" applyAlignment="1" applyFont="1" applyNumberFormat="1">
      <alignment horizontal="center"/>
    </xf>
    <xf borderId="4" fillId="0" fontId="24" numFmtId="9" xfId="0" applyAlignment="1" applyBorder="1" applyFont="1" applyNumberFormat="1">
      <alignment horizontal="center"/>
    </xf>
    <xf borderId="0" fillId="0" fontId="24" numFmtId="3" xfId="0" applyAlignment="1" applyFont="1" applyNumberFormat="1">
      <alignment horizontal="center"/>
    </xf>
    <xf borderId="5" fillId="0" fontId="2" numFmtId="4" xfId="0" applyBorder="1" applyFont="1" applyNumberFormat="1"/>
    <xf borderId="5" fillId="3" fontId="24" numFmtId="3" xfId="0" applyAlignment="1" applyBorder="1" applyFont="1" applyNumberFormat="1">
      <alignment horizontal="right"/>
    </xf>
    <xf borderId="0" fillId="3" fontId="24" numFmtId="3" xfId="0" applyAlignment="1" applyFont="1" applyNumberFormat="1">
      <alignment horizontal="right"/>
    </xf>
    <xf borderId="4" fillId="3" fontId="24" numFmtId="3" xfId="0" applyAlignment="1" applyBorder="1" applyFont="1" applyNumberFormat="1">
      <alignment horizontal="right"/>
    </xf>
    <xf borderId="0" fillId="3" fontId="24" numFmtId="4" xfId="0" applyAlignment="1" applyFont="1" applyNumberFormat="1">
      <alignment horizontal="right"/>
    </xf>
    <xf borderId="0" fillId="3" fontId="24" numFmtId="4" xfId="0" applyAlignment="1" applyFont="1" applyNumberFormat="1">
      <alignment horizontal="right" vertical="bottom"/>
    </xf>
    <xf borderId="4" fillId="3" fontId="24" numFmtId="4" xfId="0" applyAlignment="1" applyBorder="1" applyFont="1" applyNumberFormat="1">
      <alignment horizontal="right"/>
    </xf>
    <xf borderId="5" fillId="5" fontId="2" numFmtId="4" xfId="0" applyBorder="1" applyFont="1" applyNumberFormat="1"/>
    <xf borderId="4" fillId="5" fontId="2" numFmtId="4" xfId="0" applyBorder="1" applyFont="1" applyNumberFormat="1"/>
    <xf borderId="5" fillId="0" fontId="14" numFmtId="4" xfId="0" applyAlignment="1" applyBorder="1" applyFont="1" applyNumberFormat="1">
      <alignment horizontal="right"/>
    </xf>
    <xf borderId="4" fillId="0" fontId="14" numFmtId="4" xfId="0" applyAlignment="1" applyBorder="1" applyFont="1" applyNumberFormat="1">
      <alignment horizontal="right"/>
    </xf>
    <xf borderId="0" fillId="0" fontId="24" numFmtId="4" xfId="0" applyAlignment="1" applyFont="1" applyNumberFormat="1">
      <alignment horizontal="right"/>
    </xf>
    <xf borderId="4" fillId="0" fontId="2" numFmtId="4" xfId="0" applyBorder="1" applyFont="1" applyNumberFormat="1"/>
    <xf borderId="0" fillId="6" fontId="25" numFmtId="4" xfId="0" applyAlignment="1" applyFont="1" applyNumberFormat="1">
      <alignment horizontal="right"/>
    </xf>
    <xf borderId="27" fillId="0" fontId="14" numFmtId="4" xfId="0" applyAlignment="1" applyBorder="1" applyFont="1" applyNumberFormat="1">
      <alignment horizontal="right"/>
    </xf>
    <xf borderId="27" fillId="6" fontId="25" numFmtId="4" xfId="0" applyAlignment="1" applyBorder="1" applyFont="1" applyNumberFormat="1">
      <alignment horizontal="right"/>
    </xf>
    <xf borderId="6" fillId="5" fontId="2" numFmtId="4" xfId="0" applyBorder="1" applyFont="1" applyNumberFormat="1"/>
    <xf borderId="43" fillId="5" fontId="2" numFmtId="4" xfId="0" applyBorder="1" applyFont="1" applyNumberFormat="1"/>
    <xf borderId="0" fillId="0" fontId="14" numFmtId="4" xfId="0" applyAlignment="1" applyFont="1" applyNumberFormat="1">
      <alignment horizontal="right"/>
    </xf>
    <xf borderId="5" fillId="0" fontId="24" numFmtId="0" xfId="0" applyBorder="1" applyFont="1"/>
    <xf borderId="0" fillId="0" fontId="24" numFmtId="164" xfId="0" applyAlignment="1" applyFont="1" applyNumberFormat="1">
      <alignment horizontal="right"/>
    </xf>
    <xf borderId="0" fillId="0" fontId="2" numFmtId="164" xfId="0" applyFont="1" applyNumberFormat="1"/>
    <xf borderId="44" fillId="3" fontId="24" numFmtId="0" xfId="0" applyAlignment="1" applyBorder="1" applyFont="1">
      <alignment horizontal="center"/>
    </xf>
    <xf borderId="4" fillId="3" fontId="24" numFmtId="0" xfId="0" applyAlignment="1" applyBorder="1" applyFont="1">
      <alignment horizontal="center"/>
    </xf>
    <xf borderId="5" fillId="3" fontId="24" numFmtId="4" xfId="0" applyAlignment="1" applyBorder="1" applyFont="1" applyNumberFormat="1">
      <alignment horizontal="right"/>
    </xf>
    <xf borderId="5" fillId="0" fontId="24" numFmtId="4" xfId="0" applyAlignment="1" applyBorder="1" applyFont="1" applyNumberFormat="1">
      <alignment horizontal="right"/>
    </xf>
    <xf borderId="4" fillId="0" fontId="24" numFmtId="4" xfId="0" applyAlignment="1" applyBorder="1" applyFont="1" applyNumberFormat="1">
      <alignment horizontal="right"/>
    </xf>
    <xf borderId="0" fillId="5" fontId="2" numFmtId="3" xfId="0" applyFont="1" applyNumberFormat="1"/>
    <xf borderId="0" fillId="0" fontId="24" numFmtId="0" xfId="0" applyFont="1"/>
    <xf borderId="42" fillId="0" fontId="24" numFmtId="0" xfId="0" applyAlignment="1" applyBorder="1" applyFont="1">
      <alignment horizontal="center"/>
    </xf>
    <xf borderId="41" fillId="0" fontId="24" numFmtId="0" xfId="0" applyAlignment="1" applyBorder="1" applyFont="1">
      <alignment horizontal="center"/>
    </xf>
    <xf borderId="44" fillId="0" fontId="24" numFmtId="0" xfId="0" applyAlignment="1" applyBorder="1" applyFont="1">
      <alignment horizontal="center"/>
    </xf>
    <xf borderId="5" fillId="0" fontId="2" numFmtId="9" xfId="0" applyBorder="1" applyFont="1" applyNumberFormat="1"/>
    <xf borderId="4" fillId="0" fontId="2" numFmtId="3" xfId="0" applyBorder="1" applyFont="1" applyNumberFormat="1"/>
    <xf borderId="4" fillId="5" fontId="2" numFmtId="3" xfId="0" applyBorder="1" applyFont="1" applyNumberFormat="1"/>
    <xf borderId="5" fillId="0" fontId="2" numFmtId="0" xfId="0" applyBorder="1" applyFont="1"/>
    <xf borderId="5" fillId="3" fontId="2" numFmtId="4" xfId="0" applyBorder="1" applyFont="1" applyNumberFormat="1"/>
    <xf borderId="4" fillId="3" fontId="2" numFmtId="3" xfId="0" applyBorder="1" applyFont="1" applyNumberFormat="1"/>
    <xf borderId="4" fillId="3" fontId="2" numFmtId="4" xfId="0" applyBorder="1" applyFont="1" applyNumberFormat="1"/>
    <xf borderId="43" fillId="0" fontId="14" numFmtId="4" xfId="0" applyAlignment="1" applyBorder="1" applyFont="1" applyNumberFormat="1">
      <alignment horizontal="right"/>
    </xf>
    <xf borderId="5" fillId="28" fontId="24" numFmtId="4" xfId="0" applyBorder="1" applyFont="1" applyNumberFormat="1"/>
    <xf borderId="0" fillId="28" fontId="24" numFmtId="0" xfId="0" applyFont="1"/>
    <xf borderId="41" fillId="28" fontId="24" numFmtId="0" xfId="0" applyAlignment="1" applyBorder="1" applyFont="1">
      <alignment horizontal="center"/>
    </xf>
    <xf borderId="44" fillId="28" fontId="24" numFmtId="0" xfId="0" applyAlignment="1" applyBorder="1" applyFont="1">
      <alignment horizontal="center"/>
    </xf>
    <xf borderId="42" fillId="28" fontId="24" numFmtId="0" xfId="0" applyAlignment="1" applyBorder="1" applyFont="1">
      <alignment horizontal="center"/>
    </xf>
    <xf borderId="4" fillId="28" fontId="24" numFmtId="0" xfId="0" applyAlignment="1" applyBorder="1" applyFont="1">
      <alignment horizontal="center"/>
    </xf>
    <xf borderId="0" fillId="28" fontId="24" numFmtId="9" xfId="0" applyAlignment="1" applyFont="1" applyNumberFormat="1">
      <alignment horizontal="center"/>
    </xf>
    <xf borderId="4" fillId="28" fontId="24" numFmtId="9" xfId="0" applyAlignment="1" applyBorder="1" applyFont="1" applyNumberFormat="1">
      <alignment horizontal="center"/>
    </xf>
    <xf borderId="0" fillId="28" fontId="24" numFmtId="3" xfId="0" applyAlignment="1" applyFont="1" applyNumberFormat="1">
      <alignment horizontal="center"/>
    </xf>
    <xf borderId="0" fillId="28" fontId="2" numFmtId="3" xfId="0" applyFont="1" applyNumberFormat="1"/>
    <xf borderId="5" fillId="28" fontId="2" numFmtId="0" xfId="0" applyBorder="1" applyFont="1"/>
    <xf borderId="5" fillId="28" fontId="24" numFmtId="4" xfId="0" applyAlignment="1" applyBorder="1" applyFont="1" applyNumberFormat="1">
      <alignment horizontal="right"/>
    </xf>
    <xf borderId="0" fillId="28" fontId="24" numFmtId="4" xfId="0" applyAlignment="1" applyFont="1" applyNumberFormat="1">
      <alignment horizontal="right"/>
    </xf>
    <xf borderId="4" fillId="28" fontId="24" numFmtId="4" xfId="0" applyAlignment="1" applyBorder="1" applyFont="1" applyNumberFormat="1">
      <alignment horizontal="right"/>
    </xf>
    <xf borderId="4" fillId="28" fontId="2" numFmtId="4" xfId="0" applyBorder="1" applyFont="1" applyNumberFormat="1"/>
    <xf borderId="6" fillId="28" fontId="2" numFmtId="4" xfId="0" applyBorder="1" applyFont="1" applyNumberFormat="1"/>
    <xf borderId="43" fillId="28" fontId="2" numFmtId="4" xfId="0" applyBorder="1" applyFont="1" applyNumberFormat="1"/>
    <xf borderId="0" fillId="28" fontId="2" numFmtId="164" xfId="0" applyFont="1" applyNumberFormat="1"/>
    <xf borderId="0" fillId="28" fontId="2" numFmtId="0" xfId="0" applyFont="1"/>
    <xf borderId="6" fillId="0" fontId="24" numFmtId="0" xfId="0" applyAlignment="1" applyBorder="1" applyFont="1">
      <alignment horizontal="center"/>
    </xf>
    <xf borderId="0" fillId="3" fontId="24" numFmtId="9" xfId="0" applyAlignment="1" applyFont="1" applyNumberFormat="1">
      <alignment horizontal="center"/>
    </xf>
    <xf borderId="0" fillId="3" fontId="24" numFmtId="3" xfId="0" applyAlignment="1" applyFont="1" applyNumberFormat="1">
      <alignment horizontal="center"/>
    </xf>
    <xf borderId="0" fillId="3" fontId="2" numFmtId="9" xfId="0" applyFont="1" applyNumberFormat="1"/>
    <xf borderId="5" fillId="3" fontId="24" numFmtId="4" xfId="0" applyAlignment="1" applyBorder="1" applyFont="1" applyNumberFormat="1">
      <alignment horizontal="center"/>
    </xf>
    <xf borderId="4" fillId="0" fontId="14" numFmtId="3" xfId="0" applyAlignment="1" applyBorder="1" applyFont="1" applyNumberFormat="1">
      <alignment horizontal="right"/>
    </xf>
    <xf borderId="0" fillId="5" fontId="2" numFmtId="4" xfId="0" applyAlignment="1" applyFont="1" applyNumberFormat="1">
      <alignment vertical="bottom"/>
    </xf>
    <xf borderId="4" fillId="5" fontId="2" numFmtId="4" xfId="0" applyAlignment="1" applyBorder="1" applyFont="1" applyNumberFormat="1">
      <alignment vertical="bottom"/>
    </xf>
    <xf borderId="4" fillId="0" fontId="14" numFmtId="4" xfId="0" applyAlignment="1" applyBorder="1" applyFont="1" applyNumberFormat="1">
      <alignment horizontal="right" vertical="bottom"/>
    </xf>
    <xf borderId="4" fillId="6" fontId="25" numFmtId="4" xfId="0" applyAlignment="1" applyBorder="1" applyFont="1" applyNumberFormat="1">
      <alignment horizontal="right"/>
    </xf>
    <xf borderId="0" fillId="0" fontId="24" numFmtId="4" xfId="0" applyFont="1" applyNumberFormat="1"/>
    <xf borderId="0" fillId="5" fontId="2" numFmtId="0" xfId="0" applyFont="1"/>
    <xf borderId="4" fillId="5" fontId="2" numFmtId="0" xfId="0" applyBorder="1" applyFont="1"/>
    <xf borderId="4" fillId="0" fontId="2" numFmtId="0" xfId="0" applyBorder="1" applyFont="1"/>
    <xf borderId="43" fillId="0" fontId="24" numFmtId="4" xfId="0" applyAlignment="1" applyBorder="1" applyFont="1" applyNumberFormat="1">
      <alignment horizontal="right"/>
    </xf>
    <xf borderId="41" fillId="29" fontId="2" numFmtId="0" xfId="0" applyBorder="1" applyFill="1" applyFont="1"/>
    <xf borderId="0" fillId="0" fontId="24" numFmtId="10" xfId="0" applyAlignment="1" applyFont="1" applyNumberFormat="1">
      <alignment horizontal="center"/>
    </xf>
    <xf borderId="0" fillId="0" fontId="26" numFmtId="9" xfId="0" applyAlignment="1" applyFont="1" applyNumberFormat="1">
      <alignment horizontal="center"/>
    </xf>
    <xf borderId="6" fillId="0" fontId="2" numFmtId="0" xfId="0" applyBorder="1" applyFont="1"/>
    <xf borderId="45" fillId="0" fontId="2" numFmtId="4" xfId="0" applyBorder="1" applyFont="1" applyNumberFormat="1"/>
    <xf borderId="0" fillId="0" fontId="24" numFmtId="0" xfId="0" applyAlignment="1" applyFont="1">
      <alignment horizontal="center"/>
    </xf>
    <xf borderId="46" fillId="26" fontId="14" numFmtId="4" xfId="0" applyBorder="1" applyFont="1" applyNumberFormat="1"/>
    <xf borderId="47" fillId="26" fontId="2" numFmtId="0" xfId="0" applyBorder="1" applyFont="1"/>
    <xf borderId="48" fillId="26" fontId="2" numFmtId="0" xfId="0" applyBorder="1" applyFont="1"/>
    <xf borderId="49" fillId="26" fontId="2" numFmtId="0" xfId="0" applyBorder="1" applyFont="1"/>
    <xf borderId="50" fillId="26" fontId="2" numFmtId="0" xfId="0" applyBorder="1" applyFont="1"/>
    <xf borderId="51" fillId="26" fontId="2" numFmtId="0" xfId="0" applyBorder="1" applyFont="1"/>
    <xf borderId="47" fillId="26" fontId="2" numFmtId="9" xfId="0" applyBorder="1" applyFont="1" applyNumberFormat="1"/>
    <xf borderId="51" fillId="26" fontId="2" numFmtId="9" xfId="0" applyBorder="1" applyFont="1" applyNumberFormat="1"/>
    <xf borderId="46" fillId="26" fontId="2" numFmtId="0" xfId="0" applyBorder="1" applyFont="1"/>
    <xf borderId="46" fillId="26" fontId="14" numFmtId="4" xfId="0" applyAlignment="1" applyBorder="1" applyFont="1" applyNumberFormat="1">
      <alignment horizontal="right"/>
    </xf>
    <xf borderId="47" fillId="26" fontId="14" numFmtId="4" xfId="0" applyAlignment="1" applyBorder="1" applyFont="1" applyNumberFormat="1">
      <alignment horizontal="right"/>
    </xf>
    <xf borderId="51" fillId="26" fontId="14" numFmtId="4" xfId="0" applyAlignment="1" applyBorder="1" applyFont="1" applyNumberFormat="1">
      <alignment horizontal="right"/>
    </xf>
    <xf borderId="52" fillId="26" fontId="14" numFmtId="4" xfId="0" applyAlignment="1" applyBorder="1" applyFont="1" applyNumberFormat="1">
      <alignment horizontal="right"/>
    </xf>
    <xf borderId="53" fillId="26" fontId="14" numFmtId="4" xfId="0" applyAlignment="1" applyBorder="1" applyFont="1" applyNumberFormat="1">
      <alignment horizontal="right"/>
    </xf>
    <xf borderId="54" fillId="21" fontId="22" numFmtId="4" xfId="0" applyBorder="1" applyFont="1" applyNumberFormat="1"/>
    <xf borderId="13" fillId="21" fontId="2" numFmtId="0" xfId="0" applyBorder="1" applyFont="1"/>
    <xf borderId="55" fillId="21" fontId="2" numFmtId="0" xfId="0" applyBorder="1" applyFont="1"/>
    <xf borderId="56" fillId="21" fontId="2" numFmtId="0" xfId="0" applyBorder="1" applyFont="1"/>
    <xf borderId="57" fillId="21" fontId="2" numFmtId="0" xfId="0" applyBorder="1" applyFont="1"/>
    <xf borderId="14" fillId="21" fontId="2" numFmtId="0" xfId="0" applyBorder="1" applyFont="1"/>
    <xf borderId="13" fillId="21" fontId="2" numFmtId="9" xfId="0" applyBorder="1" applyFont="1" applyNumberFormat="1"/>
    <xf borderId="13" fillId="21" fontId="2" numFmtId="3" xfId="0" applyBorder="1" applyFont="1" applyNumberFormat="1"/>
    <xf borderId="14" fillId="21" fontId="2" numFmtId="3" xfId="0" applyBorder="1" applyFont="1" applyNumberFormat="1"/>
    <xf borderId="54" fillId="21" fontId="2" numFmtId="4" xfId="0" applyBorder="1" applyFont="1" applyNumberFormat="1"/>
    <xf borderId="54" fillId="21" fontId="2" numFmtId="3" xfId="0" applyBorder="1" applyFont="1" applyNumberFormat="1"/>
    <xf borderId="13" fillId="21" fontId="2" numFmtId="4" xfId="0" applyBorder="1" applyFont="1" applyNumberFormat="1"/>
    <xf borderId="14" fillId="21" fontId="2" numFmtId="4" xfId="0" applyBorder="1" applyFont="1" applyNumberFormat="1"/>
    <xf borderId="27" fillId="21" fontId="2" numFmtId="4" xfId="0" applyBorder="1" applyFont="1" applyNumberFormat="1"/>
    <xf borderId="58" fillId="21" fontId="2" numFmtId="4" xfId="0" applyBorder="1" applyFont="1" applyNumberFormat="1"/>
    <xf borderId="12" fillId="21" fontId="2" numFmtId="4" xfId="0" applyBorder="1" applyFont="1" applyNumberFormat="1"/>
    <xf borderId="4" fillId="3" fontId="24" numFmtId="9" xfId="0" applyAlignment="1" applyBorder="1" applyFont="1" applyNumberFormat="1">
      <alignment horizontal="center"/>
    </xf>
    <xf borderId="0" fillId="0" fontId="27" numFmtId="4" xfId="0" applyAlignment="1" applyFont="1" applyNumberFormat="1">
      <alignment horizontal="right"/>
    </xf>
    <xf borderId="27" fillId="5" fontId="24" numFmtId="4" xfId="0" applyBorder="1" applyFont="1" applyNumberFormat="1"/>
    <xf borderId="4" fillId="5" fontId="24" numFmtId="4" xfId="0" applyBorder="1" applyFont="1" applyNumberFormat="1"/>
    <xf borderId="13" fillId="5" fontId="2" numFmtId="4" xfId="0" applyBorder="1" applyFont="1" applyNumberFormat="1"/>
    <xf borderId="13" fillId="6" fontId="25" numFmtId="4" xfId="0" applyAlignment="1" applyBorder="1" applyFont="1" applyNumberFormat="1">
      <alignment horizontal="right"/>
    </xf>
    <xf borderId="58" fillId="5" fontId="2" numFmtId="4" xfId="0" applyBorder="1" applyFont="1" applyNumberFormat="1"/>
    <xf borderId="27" fillId="5" fontId="2" numFmtId="4" xfId="0" applyBorder="1" applyFont="1" applyNumberFormat="1"/>
    <xf borderId="59" fillId="26" fontId="14" numFmtId="4" xfId="0" applyBorder="1" applyFont="1" applyNumberFormat="1"/>
    <xf borderId="60" fillId="26" fontId="2" numFmtId="0" xfId="0" applyBorder="1" applyFont="1"/>
    <xf borderId="61" fillId="26" fontId="2" numFmtId="0" xfId="0" applyBorder="1" applyFont="1"/>
    <xf borderId="62" fillId="26" fontId="2" numFmtId="0" xfId="0" applyBorder="1" applyFont="1"/>
    <xf borderId="63" fillId="26" fontId="2" numFmtId="0" xfId="0" applyBorder="1" applyFont="1"/>
    <xf borderId="64" fillId="26" fontId="2" numFmtId="0" xfId="0" applyBorder="1" applyFont="1"/>
    <xf borderId="60" fillId="26" fontId="2" numFmtId="9" xfId="0" applyBorder="1" applyFont="1" applyNumberFormat="1"/>
    <xf borderId="64" fillId="26" fontId="2" numFmtId="9" xfId="0" applyBorder="1" applyFont="1" applyNumberFormat="1"/>
    <xf borderId="59" fillId="26" fontId="2" numFmtId="0" xfId="0" applyBorder="1" applyFont="1"/>
    <xf borderId="59" fillId="26" fontId="14" numFmtId="4" xfId="0" applyAlignment="1" applyBorder="1" applyFont="1" applyNumberFormat="1">
      <alignment horizontal="right"/>
    </xf>
    <xf borderId="60" fillId="26" fontId="14" numFmtId="4" xfId="0" applyAlignment="1" applyBorder="1" applyFont="1" applyNumberFormat="1">
      <alignment horizontal="right"/>
    </xf>
    <xf borderId="64" fillId="26" fontId="14" numFmtId="4" xfId="0" applyAlignment="1" applyBorder="1" applyFont="1" applyNumberFormat="1">
      <alignment horizontal="right"/>
    </xf>
    <xf borderId="60" fillId="26" fontId="2" numFmtId="4" xfId="0" applyBorder="1" applyFont="1" applyNumberFormat="1"/>
    <xf borderId="65" fillId="26" fontId="14" numFmtId="4" xfId="0" applyAlignment="1" applyBorder="1" applyFont="1" applyNumberFormat="1">
      <alignment horizontal="right"/>
    </xf>
    <xf borderId="66" fillId="26" fontId="14" numFmtId="4" xfId="0" applyAlignment="1" applyBorder="1" applyFont="1" applyNumberFormat="1">
      <alignment horizontal="right"/>
    </xf>
    <xf borderId="28" fillId="5" fontId="2" numFmtId="4" xfId="0" applyBorder="1" applyFont="1" applyNumberFormat="1"/>
    <xf borderId="67" fillId="5" fontId="2" numFmtId="4" xfId="0" applyBorder="1" applyFont="1" applyNumberFormat="1"/>
    <xf borderId="68" fillId="6" fontId="25" numFmtId="4" xfId="0" applyAlignment="1" applyBorder="1" applyFont="1" applyNumberFormat="1">
      <alignment horizontal="right"/>
    </xf>
    <xf borderId="27" fillId="0" fontId="24" numFmtId="4" xfId="0" applyAlignment="1" applyBorder="1" applyFont="1" applyNumberFormat="1">
      <alignment horizontal="right"/>
    </xf>
    <xf borderId="5" fillId="0" fontId="24" numFmtId="9" xfId="0" applyAlignment="1" applyBorder="1" applyFont="1" applyNumberFormat="1">
      <alignment horizontal="center"/>
    </xf>
    <xf borderId="5" fillId="0" fontId="2" numFmtId="3" xfId="0" applyBorder="1" applyFont="1" applyNumberFormat="1"/>
    <xf borderId="6" fillId="29" fontId="2" numFmtId="0" xfId="0" applyBorder="1" applyFont="1"/>
    <xf borderId="5" fillId="0" fontId="26" numFmtId="9" xfId="0" applyAlignment="1" applyBorder="1" applyFont="1" applyNumberFormat="1">
      <alignment horizontal="center"/>
    </xf>
    <xf borderId="0" fillId="3" fontId="26" numFmtId="9" xfId="0" applyAlignment="1" applyFont="1" applyNumberFormat="1">
      <alignment horizontal="center"/>
    </xf>
    <xf borderId="4" fillId="3" fontId="26" numFmtId="9" xfId="0" applyAlignment="1" applyBorder="1" applyFont="1" applyNumberFormat="1">
      <alignment horizontal="center"/>
    </xf>
    <xf borderId="0" fillId="3" fontId="26" numFmtId="3" xfId="0" applyAlignment="1" applyFont="1" applyNumberFormat="1">
      <alignment horizontal="center"/>
    </xf>
    <xf borderId="5" fillId="5" fontId="24" numFmtId="4" xfId="0" applyAlignment="1" applyBorder="1" applyFont="1" applyNumberFormat="1">
      <alignment horizontal="right"/>
    </xf>
    <xf borderId="0" fillId="5" fontId="24" numFmtId="4" xfId="0" applyAlignment="1" applyFont="1" applyNumberFormat="1">
      <alignment horizontal="right"/>
    </xf>
    <xf borderId="4" fillId="5" fontId="24" numFmtId="4" xfId="0" applyAlignment="1" applyBorder="1" applyFont="1" applyNumberFormat="1">
      <alignment horizontal="right"/>
    </xf>
    <xf borderId="43" fillId="7" fontId="25" numFmtId="4" xfId="0" applyAlignment="1" applyBorder="1" applyFont="1" applyNumberFormat="1">
      <alignment horizontal="right"/>
    </xf>
    <xf borderId="0" fillId="7" fontId="25" numFmtId="4" xfId="0" applyAlignment="1" applyFont="1" applyNumberFormat="1">
      <alignment horizontal="right"/>
    </xf>
    <xf borderId="42" fillId="0" fontId="2" numFmtId="0" xfId="0" applyBorder="1" applyFont="1"/>
    <xf borderId="42" fillId="29" fontId="2" numFmtId="0" xfId="0" applyBorder="1" applyFont="1"/>
    <xf borderId="43" fillId="6" fontId="25" numFmtId="4" xfId="0" applyAlignment="1" applyBorder="1" applyFont="1" applyNumberFormat="1">
      <alignment horizontal="right"/>
    </xf>
    <xf borderId="5" fillId="0" fontId="24" numFmtId="4" xfId="0" applyAlignment="1" applyBorder="1" applyFont="1" applyNumberFormat="1">
      <alignment horizontal="center"/>
    </xf>
    <xf borderId="0" fillId="0" fontId="24" numFmtId="165" xfId="0" applyAlignment="1" applyFont="1" applyNumberFormat="1">
      <alignment horizontal="center"/>
    </xf>
    <xf borderId="0" fillId="0" fontId="2" numFmtId="4" xfId="0" applyAlignment="1" applyFont="1" applyNumberFormat="1">
      <alignment vertical="bottom"/>
    </xf>
    <xf borderId="0" fillId="0" fontId="24" numFmtId="0" xfId="0" applyAlignment="1" applyFont="1">
      <alignment horizontal="center" vertical="bottom"/>
    </xf>
    <xf borderId="42" fillId="0" fontId="24" numFmtId="0" xfId="0" applyAlignment="1" applyBorder="1" applyFont="1">
      <alignment horizontal="center" vertical="bottom"/>
    </xf>
    <xf borderId="4" fillId="0" fontId="24" numFmtId="0" xfId="0" applyAlignment="1" applyBorder="1" applyFont="1">
      <alignment horizontal="center" vertical="bottom"/>
    </xf>
    <xf borderId="0" fillId="0" fontId="24" numFmtId="9" xfId="0" applyAlignment="1" applyFont="1" applyNumberFormat="1">
      <alignment horizontal="center" vertical="bottom"/>
    </xf>
    <xf borderId="4" fillId="0" fontId="24" numFmtId="9" xfId="0" applyAlignment="1" applyBorder="1" applyFont="1" applyNumberFormat="1">
      <alignment horizontal="center" vertical="bottom"/>
    </xf>
    <xf borderId="0" fillId="30" fontId="24" numFmtId="3" xfId="0" applyAlignment="1" applyFill="1" applyFont="1" applyNumberFormat="1">
      <alignment horizontal="center" vertical="bottom"/>
    </xf>
    <xf borderId="5" fillId="0" fontId="24" numFmtId="4" xfId="0" applyAlignment="1" applyBorder="1" applyFont="1" applyNumberFormat="1">
      <alignment horizontal="right" vertical="bottom"/>
    </xf>
    <xf borderId="0" fillId="0" fontId="24" numFmtId="4" xfId="0" applyAlignment="1" applyFont="1" applyNumberFormat="1">
      <alignment horizontal="right" vertical="bottom"/>
    </xf>
    <xf borderId="4" fillId="0" fontId="24" numFmtId="4" xfId="0" applyAlignment="1" applyBorder="1" applyFont="1" applyNumberFormat="1">
      <alignment horizontal="right" vertical="bottom"/>
    </xf>
    <xf borderId="0" fillId="6" fontId="25" numFmtId="4" xfId="0" applyAlignment="1" applyFont="1" applyNumberFormat="1">
      <alignment horizontal="right" vertical="bottom"/>
    </xf>
    <xf borderId="59" fillId="26" fontId="2" numFmtId="4" xfId="0" applyBorder="1" applyFont="1" applyNumberFormat="1"/>
    <xf borderId="39" fillId="21" fontId="2" numFmtId="0" xfId="0" applyBorder="1" applyFont="1"/>
    <xf borderId="41" fillId="0" fontId="2" numFmtId="4" xfId="0" applyBorder="1" applyFont="1" applyNumberFormat="1"/>
    <xf borderId="41" fillId="0" fontId="2" numFmtId="0" xfId="0" applyBorder="1" applyFont="1"/>
    <xf borderId="4" fillId="0" fontId="2" numFmtId="9" xfId="0" applyBorder="1" applyFont="1" applyNumberFormat="1"/>
    <xf borderId="0" fillId="5" fontId="14" numFmtId="4" xfId="0" applyAlignment="1" applyFont="1" applyNumberFormat="1">
      <alignment horizontal="right"/>
    </xf>
    <xf borderId="27" fillId="26" fontId="14" numFmtId="4" xfId="0" applyAlignment="1" applyBorder="1" applyFont="1" applyNumberFormat="1">
      <alignment horizontal="right"/>
    </xf>
    <xf borderId="25" fillId="8" fontId="15" numFmtId="4" xfId="0" applyAlignment="1" applyBorder="1" applyFont="1" applyNumberFormat="1">
      <alignment horizontal="center"/>
    </xf>
    <xf borderId="23" fillId="8" fontId="2" numFmtId="0" xfId="0" applyBorder="1" applyFont="1"/>
    <xf borderId="69" fillId="8" fontId="2" numFmtId="0" xfId="0" applyBorder="1" applyFont="1"/>
    <xf borderId="25" fillId="8" fontId="2" numFmtId="0" xfId="0" applyBorder="1" applyFont="1"/>
    <xf borderId="24" fillId="8" fontId="2" numFmtId="0" xfId="0" applyBorder="1" applyFont="1"/>
    <xf borderId="23" fillId="8" fontId="2" numFmtId="9" xfId="0" applyBorder="1" applyFont="1" applyNumberFormat="1"/>
    <xf borderId="24" fillId="8" fontId="2" numFmtId="9" xfId="0" applyBorder="1" applyFont="1" applyNumberFormat="1"/>
    <xf borderId="25" fillId="8" fontId="2" numFmtId="4" xfId="0" applyBorder="1" applyFont="1" applyNumberFormat="1"/>
    <xf borderId="22" fillId="8" fontId="15" numFmtId="4" xfId="0" applyAlignment="1" applyBorder="1" applyFont="1" applyNumberFormat="1">
      <alignment horizontal="right"/>
    </xf>
    <xf borderId="23" fillId="8" fontId="15" numFmtId="4" xfId="0" applyAlignment="1" applyBorder="1" applyFont="1" applyNumberFormat="1">
      <alignment horizontal="right"/>
    </xf>
    <xf borderId="21" fillId="8" fontId="15" numFmtId="4" xfId="0" applyAlignment="1" applyBorder="1" applyFont="1" applyNumberFormat="1">
      <alignment horizontal="right"/>
    </xf>
    <xf borderId="17" fillId="8" fontId="15" numFmtId="4" xfId="0" applyAlignment="1" applyBorder="1" applyFont="1" applyNumberFormat="1">
      <alignment horizontal="right"/>
    </xf>
    <xf borderId="24" fillId="8" fontId="15" numFmtId="4" xfId="0" applyAlignment="1" applyBorder="1" applyFont="1" applyNumberFormat="1">
      <alignment horizontal="right"/>
    </xf>
    <xf borderId="70" fillId="8" fontId="15" numFmtId="4" xfId="0" applyAlignment="1" applyBorder="1" applyFont="1" applyNumberFormat="1">
      <alignment horizontal="right"/>
    </xf>
    <xf borderId="71" fillId="8" fontId="15" numFmtId="4" xfId="0" applyAlignment="1" applyBorder="1" applyFont="1" applyNumberFormat="1">
      <alignment horizontal="right"/>
    </xf>
    <xf borderId="17" fillId="8" fontId="2" numFmtId="4" xfId="0" applyBorder="1" applyFont="1" applyNumberFormat="1"/>
    <xf borderId="0" fillId="15" fontId="12" numFmtId="4" xfId="0" applyAlignment="1" applyFont="1" applyNumberFormat="1">
      <alignment horizontal="center"/>
    </xf>
    <xf borderId="0" fillId="15" fontId="2" numFmtId="0" xfId="0" applyFont="1"/>
    <xf borderId="41" fillId="15" fontId="2" numFmtId="0" xfId="0" applyBorder="1" applyFont="1"/>
    <xf borderId="0" fillId="15" fontId="24" numFmtId="4" xfId="0" applyAlignment="1" applyFont="1" applyNumberFormat="1">
      <alignment horizontal="center"/>
    </xf>
    <xf borderId="0" fillId="15" fontId="2" numFmtId="2" xfId="0" applyFont="1" applyNumberFormat="1"/>
    <xf borderId="4" fillId="15" fontId="2" numFmtId="2" xfId="0" applyBorder="1" applyFont="1" applyNumberFormat="1"/>
    <xf borderId="0" fillId="15" fontId="2" numFmtId="4" xfId="0" applyFont="1" applyNumberFormat="1"/>
    <xf borderId="0" fillId="15" fontId="27" numFmtId="4" xfId="0" applyAlignment="1" applyFont="1" applyNumberFormat="1">
      <alignment horizontal="right"/>
    </xf>
    <xf borderId="4" fillId="15" fontId="27" numFmtId="4" xfId="0" applyAlignment="1" applyBorder="1" applyFont="1" applyNumberFormat="1">
      <alignment horizontal="right"/>
    </xf>
    <xf borderId="5" fillId="15" fontId="27" numFmtId="4" xfId="0" applyAlignment="1" applyBorder="1" applyFont="1" applyNumberFormat="1">
      <alignment horizontal="right"/>
    </xf>
    <xf borderId="6" fillId="15" fontId="27" numFmtId="4" xfId="0" applyAlignment="1" applyBorder="1" applyFont="1" applyNumberFormat="1">
      <alignment horizontal="right"/>
    </xf>
    <xf borderId="0" fillId="2" fontId="28" numFmtId="4" xfId="0" applyFont="1" applyNumberFormat="1"/>
    <xf borderId="0" fillId="2" fontId="2" numFmtId="4" xfId="0" applyFont="1" applyNumberFormat="1"/>
    <xf borderId="0" fillId="2" fontId="2" numFmtId="0" xfId="0" applyFont="1"/>
    <xf borderId="0" fillId="2" fontId="2" numFmtId="9" xfId="0" applyFont="1" applyNumberFormat="1"/>
    <xf borderId="0" fillId="2" fontId="2" numFmtId="3" xfId="0" applyFont="1" applyNumberFormat="1"/>
    <xf borderId="0" fillId="0" fontId="14" numFmtId="4" xfId="0" applyFont="1" applyNumberFormat="1"/>
    <xf borderId="0" fillId="0" fontId="12" numFmtId="4" xfId="0" applyFont="1" applyNumberFormat="1"/>
    <xf borderId="0" fillId="31" fontId="2" numFmtId="0" xfId="0" applyFill="1" applyFont="1"/>
    <xf borderId="0" fillId="3" fontId="12" numFmtId="4" xfId="0" applyAlignment="1" applyFont="1" applyNumberFormat="1">
      <alignment horizontal="center"/>
    </xf>
    <xf borderId="0" fillId="0" fontId="24" numFmtId="4" xfId="0" applyAlignment="1" applyFont="1" applyNumberFormat="1">
      <alignment horizontal="center"/>
    </xf>
    <xf borderId="0" fillId="31" fontId="2" numFmtId="4" xfId="0" applyFont="1" applyNumberFormat="1"/>
    <xf borderId="0" fillId="3" fontId="9" numFmtId="0" xfId="0" applyAlignment="1" applyFont="1">
      <alignment horizontal="center"/>
    </xf>
    <xf borderId="17" fillId="13" fontId="14" numFmtId="0" xfId="0" applyAlignment="1" applyBorder="1" applyFont="1">
      <alignment horizontal="center" shrinkToFit="0" wrapText="1"/>
    </xf>
    <xf borderId="17" fillId="22" fontId="17" numFmtId="0" xfId="0" applyAlignment="1" applyBorder="1" applyFont="1">
      <alignment horizontal="center" shrinkToFit="0" vertical="bottom" wrapText="1"/>
    </xf>
    <xf borderId="17" fillId="19" fontId="17" numFmtId="0" xfId="0" applyAlignment="1" applyBorder="1" applyFont="1">
      <alignment horizontal="center" shrinkToFit="0" wrapText="1"/>
    </xf>
    <xf borderId="29" fillId="19" fontId="17" numFmtId="0" xfId="0" applyAlignment="1" applyBorder="1" applyFont="1">
      <alignment horizontal="center"/>
    </xf>
    <xf borderId="17" fillId="22" fontId="17" numFmtId="0" xfId="0" applyAlignment="1" applyBorder="1" applyFont="1">
      <alignment horizontal="center" shrinkToFit="0" wrapText="1"/>
    </xf>
    <xf borderId="1" fillId="28" fontId="23" numFmtId="0" xfId="0" applyBorder="1" applyFont="1"/>
    <xf borderId="35" fillId="21" fontId="22" numFmtId="0" xfId="0" applyBorder="1" applyFont="1"/>
    <xf borderId="5" fillId="28" fontId="24" numFmtId="0" xfId="0" applyBorder="1" applyFont="1"/>
    <xf borderId="5" fillId="3" fontId="29" numFmtId="4" xfId="0" applyAlignment="1" applyBorder="1" applyFont="1" applyNumberFormat="1">
      <alignment horizontal="center"/>
    </xf>
    <xf borderId="0" fillId="5" fontId="2" numFmtId="0" xfId="0" applyAlignment="1" applyFont="1">
      <alignment vertical="bottom"/>
    </xf>
    <xf borderId="46" fillId="26" fontId="14" numFmtId="0" xfId="0" applyBorder="1" applyFont="1"/>
    <xf borderId="54" fillId="21" fontId="22" numFmtId="0" xfId="0" applyBorder="1" applyFont="1"/>
    <xf borderId="59" fillId="26" fontId="14" numFmtId="0" xfId="0" applyBorder="1" applyFont="1"/>
    <xf borderId="5" fillId="0" fontId="30" numFmtId="4" xfId="0" applyAlignment="1" applyBorder="1" applyFont="1" applyNumberFormat="1">
      <alignment horizontal="center"/>
    </xf>
    <xf borderId="25" fillId="8" fontId="15" numFmtId="0" xfId="0" applyAlignment="1" applyBorder="1" applyFont="1">
      <alignment horizontal="center"/>
    </xf>
    <xf borderId="0" fillId="15" fontId="12" numFmtId="0" xfId="0" applyAlignment="1" applyFont="1">
      <alignment horizontal="center"/>
    </xf>
    <xf borderId="0" fillId="2" fontId="28" numFmtId="0" xfId="0" applyFont="1"/>
    <xf borderId="0" fillId="0" fontId="31" numFmtId="0" xfId="0" applyFont="1"/>
    <xf borderId="0" fillId="0" fontId="12" numFmtId="0" xfId="0" applyFont="1"/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32" fontId="33" numFmtId="0" xfId="0" applyAlignment="1" applyFill="1" applyFont="1">
      <alignment readingOrder="0"/>
    </xf>
    <xf borderId="0" fillId="32" fontId="33" numFmtId="0" xfId="0" applyAlignment="1" applyFont="1">
      <alignment vertical="bottom"/>
    </xf>
    <xf borderId="72" fillId="33" fontId="32" numFmtId="0" xfId="0" applyAlignment="1" applyBorder="1" applyFill="1" applyFont="1">
      <alignment horizontal="center" shrinkToFit="0" wrapText="1"/>
    </xf>
    <xf borderId="72" fillId="0" fontId="2" numFmtId="166" xfId="0" applyAlignment="1" applyBorder="1" applyFont="1" applyNumberFormat="1">
      <alignment horizontal="right" vertical="bottom"/>
    </xf>
    <xf borderId="72" fillId="0" fontId="33" numFmtId="166" xfId="0" applyAlignment="1" applyBorder="1" applyFont="1" applyNumberFormat="1">
      <alignment vertical="bottom"/>
    </xf>
    <xf borderId="72" fillId="0" fontId="33" numFmtId="0" xfId="0" applyAlignment="1" applyBorder="1" applyFont="1">
      <alignment vertical="bottom"/>
    </xf>
    <xf borderId="72" fillId="0" fontId="33" numFmtId="4" xfId="0" applyAlignment="1" applyBorder="1" applyFont="1" applyNumberFormat="1">
      <alignment vertical="bottom"/>
    </xf>
    <xf borderId="23" fillId="0" fontId="32" numFmtId="9" xfId="0" applyAlignment="1" applyBorder="1" applyFont="1" applyNumberFormat="1">
      <alignment horizontal="center" vertical="bottom"/>
    </xf>
    <xf borderId="23" fillId="0" fontId="32" numFmtId="166" xfId="0" applyAlignment="1" applyBorder="1" applyFont="1" applyNumberFormat="1">
      <alignment horizontal="right" vertical="bottom"/>
    </xf>
    <xf borderId="0" fillId="0" fontId="33" numFmtId="166" xfId="0" applyAlignment="1" applyFont="1" applyNumberFormat="1">
      <alignment vertical="bottom"/>
    </xf>
    <xf borderId="72" fillId="29" fontId="34" numFmtId="0" xfId="0" applyAlignment="1" applyBorder="1" applyFont="1">
      <alignment horizontal="center" shrinkToFit="0" wrapText="1"/>
    </xf>
    <xf borderId="72" fillId="0" fontId="2" numFmtId="4" xfId="0" applyAlignment="1" applyBorder="1" applyFont="1" applyNumberFormat="1">
      <alignment horizontal="right" vertical="bottom"/>
    </xf>
    <xf borderId="0" fillId="0" fontId="33" numFmtId="0" xfId="0" applyAlignment="1" applyFont="1">
      <alignment readingOrder="0" vertical="bottom"/>
    </xf>
    <xf borderId="0" fillId="0" fontId="35" numFmtId="0" xfId="0" applyAlignment="1" applyFont="1">
      <alignment readingOrder="0"/>
    </xf>
    <xf borderId="0" fillId="0" fontId="33" numFmtId="0" xfId="0" applyAlignment="1" applyFont="1">
      <alignment readingOrder="0" shrinkToFit="0" vertical="bottom" wrapText="0"/>
    </xf>
    <xf borderId="0" fillId="0" fontId="33" numFmtId="0" xfId="0" applyFont="1"/>
    <xf borderId="0" fillId="0" fontId="36" numFmtId="0" xfId="0" applyAlignment="1" applyFont="1">
      <alignment shrinkToFit="0" vertical="bottom" wrapText="0"/>
    </xf>
    <xf borderId="0" fillId="0" fontId="36" numFmtId="4" xfId="0" applyAlignment="1" applyFont="1" applyNumberFormat="1">
      <alignment horizontal="right"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0" fillId="0" fontId="35" numFmtId="0" xfId="0" applyFont="1"/>
    <xf borderId="73" fillId="34" fontId="32" numFmtId="0" xfId="0" applyAlignment="1" applyBorder="1" applyFill="1" applyFont="1">
      <alignment horizontal="center"/>
    </xf>
    <xf borderId="74" fillId="34" fontId="32" numFmtId="0" xfId="0" applyAlignment="1" applyBorder="1" applyFont="1">
      <alignment horizontal="center"/>
    </xf>
    <xf borderId="75" fillId="0" fontId="4" numFmtId="0" xfId="0" applyBorder="1" applyFont="1"/>
    <xf borderId="76" fillId="0" fontId="4" numFmtId="0" xfId="0" applyBorder="1" applyFont="1"/>
    <xf borderId="77" fillId="34" fontId="32" numFmtId="0" xfId="0" applyAlignment="1" applyBorder="1" applyFont="1">
      <alignment horizontal="center"/>
    </xf>
    <xf borderId="78" fillId="34" fontId="33" numFmtId="0" xfId="0" applyAlignment="1" applyBorder="1" applyFont="1">
      <alignment vertical="bottom"/>
    </xf>
    <xf borderId="79" fillId="34" fontId="33" numFmtId="0" xfId="0" applyAlignment="1" applyBorder="1" applyFont="1">
      <alignment vertical="bottom"/>
    </xf>
    <xf borderId="80" fillId="34" fontId="33" numFmtId="0" xfId="0" applyAlignment="1" applyBorder="1" applyFont="1">
      <alignment vertical="bottom"/>
    </xf>
    <xf borderId="81" fillId="34" fontId="33" numFmtId="166" xfId="0" applyAlignment="1" applyBorder="1" applyFont="1" applyNumberFormat="1">
      <alignment vertical="bottom"/>
    </xf>
    <xf borderId="81" fillId="34" fontId="2" numFmtId="9" xfId="0" applyAlignment="1" applyBorder="1" applyFont="1" applyNumberFormat="1">
      <alignment horizontal="center" vertical="bottom"/>
    </xf>
    <xf borderId="81" fillId="34" fontId="32" numFmtId="0" xfId="0" applyAlignment="1" applyBorder="1" applyFont="1">
      <alignment horizontal="center"/>
    </xf>
    <xf borderId="82" fillId="0" fontId="2" numFmtId="0" xfId="0" applyAlignment="1" applyBorder="1" applyFont="1">
      <alignment vertical="bottom"/>
    </xf>
    <xf borderId="83" fillId="0" fontId="33" numFmtId="0" xfId="0" applyAlignment="1" applyBorder="1" applyFont="1">
      <alignment vertical="bottom"/>
    </xf>
    <xf borderId="82" fillId="0" fontId="2" numFmtId="0" xfId="0" applyAlignment="1" applyBorder="1" applyFont="1">
      <alignment horizontal="left" vertical="bottom"/>
    </xf>
    <xf borderId="84" fillId="0" fontId="2" numFmtId="166" xfId="0" applyAlignment="1" applyBorder="1" applyFont="1" applyNumberFormat="1">
      <alignment horizontal="right" vertical="bottom"/>
    </xf>
    <xf borderId="84" fillId="0" fontId="2" numFmtId="166" xfId="0" applyAlignment="1" applyBorder="1" applyFont="1" applyNumberFormat="1">
      <alignment horizontal="right" readingOrder="0" vertical="bottom"/>
    </xf>
    <xf borderId="85" fillId="0" fontId="33" numFmtId="0" xfId="0" applyBorder="1" applyFont="1"/>
    <xf borderId="86" fillId="0" fontId="33" numFmtId="0" xfId="0" applyBorder="1" applyFont="1"/>
    <xf borderId="87" fillId="0" fontId="33" numFmtId="0" xfId="0" applyBorder="1" applyFont="1"/>
    <xf borderId="87" fillId="0" fontId="32" numFmtId="0" xfId="0" applyAlignment="1" applyBorder="1" applyFont="1">
      <alignment horizontal="right"/>
    </xf>
    <xf borderId="72" fillId="0" fontId="2" numFmtId="166" xfId="0" applyAlignment="1" applyBorder="1" applyFont="1" applyNumberFormat="1">
      <alignment horizontal="right"/>
    </xf>
    <xf borderId="88" fillId="0" fontId="33" numFmtId="166" xfId="0" applyBorder="1" applyFont="1" applyNumberFormat="1"/>
    <xf borderId="0" fillId="0" fontId="32" numFmtId="0" xfId="0" applyAlignment="1" applyFont="1">
      <alignment horizontal="right"/>
    </xf>
    <xf borderId="89" fillId="30" fontId="2" numFmtId="166" xfId="0" applyAlignment="1" applyBorder="1" applyFont="1" applyNumberFormat="1">
      <alignment horizontal="right"/>
    </xf>
    <xf borderId="0" fillId="0" fontId="3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l-BRb3T2kDVIi7vQtiqNFQGmrkINJGQNviy6GfEL2SQ/edit?gid=517502677" TargetMode="External"/><Relationship Id="rId3" Type="http://schemas.openxmlformats.org/officeDocument/2006/relationships/hyperlink" Target="https://docs.google.com/spreadsheets/d/1l-BRb3T2kDVIi7vQtiqNFQGmrkINJGQNviy6GfEL2SQ/edit?gid=517502677" TargetMode="External"/><Relationship Id="rId4" Type="http://schemas.openxmlformats.org/officeDocument/2006/relationships/hyperlink" Target="https://docs.google.com/spreadsheets/d/17mP-RWjZcydNHbl22j5YN9aDmR9B-CsCBYEPLm_Hdpo/edit?gid=667055179" TargetMode="External"/><Relationship Id="rId5" Type="http://schemas.openxmlformats.org/officeDocument/2006/relationships/hyperlink" Target="https://docs.google.com/spreadsheets/d/1ifPwzIhnBLJvJAIAbZTVa1QsJDGoCDT_xD5g_4k3ol0/edit?gid=614568349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45.38"/>
    <col customWidth="1" min="42" max="43" width="24.75"/>
    <col customWidth="1" min="44" max="44" width="17.88"/>
  </cols>
  <sheetData>
    <row r="1" ht="18.0" customHeight="1">
      <c r="A1" s="1" t="str">
        <f>IFERROR(__xludf.DUMMYFUNCTION("IMPORTRANGE(""https://docs.google.com/spreadsheets/d/1aA2n2nuC-HpOwn0If03ZXaYJJcL9rj0-bMTTA8tuD9Y/edit?gid=1051082469#gid=1051082469"",""April'26!a1:Dz"")"),"COE note")</f>
        <v>COE note</v>
      </c>
      <c r="B1" s="2" t="str">
        <f>IFERROR(__xludf.DUMMYFUNCTION("""COMPUTED_VALUE"""),"April'26")</f>
        <v>April'26</v>
      </c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4"/>
      <c r="R1" s="4"/>
      <c r="S1" s="4"/>
      <c r="T1" s="4"/>
      <c r="U1" s="4"/>
      <c r="V1" s="5"/>
      <c r="W1" s="6"/>
      <c r="X1" s="5"/>
      <c r="Y1" s="5"/>
      <c r="Z1" s="5"/>
      <c r="AA1" s="5"/>
      <c r="AB1" s="5"/>
      <c r="AC1" s="5"/>
      <c r="AD1" s="7"/>
      <c r="AE1" s="8"/>
      <c r="AF1" s="9"/>
      <c r="AG1" s="8"/>
      <c r="AH1" s="9"/>
      <c r="AI1" s="10"/>
      <c r="AJ1" s="11"/>
      <c r="AK1" s="11"/>
      <c r="AL1" s="12"/>
      <c r="AM1" s="4" t="str">
        <f>IFERROR(__xludf.DUMMYFUNCTION("""COMPUTED_VALUE"""),"Refer from INV")</f>
        <v>Refer from INV</v>
      </c>
      <c r="AN1" s="5"/>
      <c r="AO1" s="5"/>
      <c r="AP1" s="13"/>
      <c r="AQ1" s="5"/>
      <c r="AR1" s="14"/>
      <c r="AS1" s="15"/>
      <c r="AT1" s="16" t="str">
        <f>IFERROR(__xludf.DUMMYFUNCTION("""COMPUTED_VALUE"""),"1st
MKT PIC")</f>
        <v>1st
MKT PIC</v>
      </c>
      <c r="AU1" s="17" t="str">
        <f>IFERROR(__xludf.DUMMYFUNCTION("""COMPUTED_VALUE"""),"2nd
MKT PIC")</f>
        <v>2nd
MKT PIC</v>
      </c>
      <c r="AV1" s="18"/>
      <c r="AW1" s="19" t="str">
        <f>IFERROR(__xludf.DUMMYFUNCTION("""COMPUTED_VALUE"""),"Final")</f>
        <v>Final</v>
      </c>
      <c r="AX1" s="20" t="str">
        <f>IFERROR(__xludf.DUMMYFUNCTION("""COMPUTED_VALUE"""),"Final (for Brand only run ads under brand BM)")</f>
        <v>Final (for Brand only run ads under brand BM)</v>
      </c>
      <c r="AY1" s="14" t="str">
        <f>IFERROR(__xludf.DUMMYFUNCTION("""COMPUTED_VALUE"""),"Remark")</f>
        <v>Remark</v>
      </c>
      <c r="AZ1" s="14"/>
      <c r="BA1" s="14"/>
      <c r="BB1" s="6"/>
      <c r="BC1" s="5"/>
      <c r="BD1" s="21"/>
      <c r="BE1" s="22" t="str">
        <f>IFERROR(__xludf.DUMMYFUNCTION("""COMPUTED_VALUE"""),"เขียนบวกทีละ invoice 
ไม่เอาเลขรวม
From Ads 
Manager")</f>
        <v>เขียนบวกทีละ invoice 
ไม่เอาเลขรวม
From Ads 
Manager</v>
      </c>
      <c r="BF1" s="5" t="str">
        <f>IFERROR(__xludf.DUMMYFUNCTION("""COMPUTED_VALUE"""),"From Ads 
Manager")</f>
        <v>From Ads 
Manager</v>
      </c>
      <c r="BG1" s="21"/>
      <c r="BH1" s="23" t="str">
        <f>IFERROR(__xludf.DUMMYFUNCTION("""COMPUTED_VALUE"""),"ช่องนี้ ใส่เลขจริง กับ + เท่านั้น")</f>
        <v>ช่องนี้ ใส่เลขจริง กับ + เท่านั้น</v>
      </c>
      <c r="BI1" s="24"/>
      <c r="BJ1" s="5"/>
      <c r="BK1" s="5"/>
      <c r="BL1" s="5"/>
      <c r="BM1" s="5"/>
      <c r="BN1" s="5"/>
      <c r="BO1" s="5"/>
      <c r="BP1" s="5"/>
      <c r="BQ1" s="5"/>
      <c r="BR1" s="5"/>
      <c r="BS1" s="25"/>
    </row>
    <row r="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6"/>
      <c r="O2" s="27"/>
      <c r="AC2" s="28"/>
      <c r="AD2" s="29"/>
      <c r="AE2" s="30"/>
      <c r="AF2" s="31"/>
      <c r="AG2" s="29"/>
      <c r="AH2" s="31"/>
      <c r="AI2" s="29"/>
      <c r="AJ2" s="30"/>
      <c r="AK2" s="31"/>
      <c r="AL2" s="30"/>
      <c r="AM2" s="30"/>
      <c r="AN2" s="31"/>
      <c r="AO2" s="30"/>
      <c r="AP2" s="30"/>
      <c r="AQ2" s="31"/>
      <c r="AR2" s="30"/>
      <c r="AS2" s="30"/>
      <c r="AT2" s="30"/>
      <c r="AU2" s="30"/>
      <c r="AV2" s="30"/>
      <c r="AW2" s="30"/>
      <c r="AX2" s="30"/>
      <c r="AY2" s="30"/>
      <c r="AZ2" s="32"/>
      <c r="BA2" s="33"/>
      <c r="BB2" s="30" t="str">
        <f>IFERROR(__xludf.DUMMYFUNCTION("""COMPUTED_VALUE"""),"Filled by Marketing")</f>
        <v>Filled by Marketing</v>
      </c>
      <c r="BC2" s="30"/>
      <c r="BD2" s="30"/>
      <c r="BE2" s="30"/>
      <c r="BF2" s="30"/>
      <c r="BG2" s="30"/>
      <c r="BH2" s="30"/>
      <c r="BI2" s="30"/>
      <c r="BJ2" s="30"/>
      <c r="BK2" s="31"/>
      <c r="BL2" s="2"/>
      <c r="BM2" s="2"/>
      <c r="BN2" s="2"/>
      <c r="BO2" s="2"/>
      <c r="BP2" s="34"/>
      <c r="BQ2" s="34"/>
      <c r="BR2" s="34"/>
      <c r="BS2" s="25"/>
    </row>
    <row r="3">
      <c r="A3" s="2"/>
      <c r="B3" s="34"/>
      <c r="C3" s="34"/>
      <c r="D3" s="34"/>
      <c r="E3" s="34"/>
      <c r="F3" s="34"/>
      <c r="G3" s="3"/>
      <c r="H3" s="34"/>
      <c r="I3" s="34"/>
      <c r="J3" s="34"/>
      <c r="K3" s="34"/>
      <c r="L3" s="34"/>
      <c r="M3" s="34"/>
      <c r="N3" s="26"/>
      <c r="O3" s="35"/>
      <c r="P3" s="35" t="str">
        <f>IFERROR(__xludf.DUMMYFUNCTION("""COMPUTED_VALUE"""),"Formula")</f>
        <v>Formula</v>
      </c>
      <c r="Q3" s="35" t="str">
        <f>IFERROR(__xludf.DUMMYFUNCTION("""COMPUTED_VALUE"""),"Formula")</f>
        <v>Formula</v>
      </c>
      <c r="R3" s="36" t="str">
        <f>IFERROR(__xludf.DUMMYFUNCTION("""COMPUTED_VALUE"""),"Formula")</f>
        <v>Formula</v>
      </c>
      <c r="S3" s="35"/>
      <c r="T3" s="35" t="str">
        <f>IFERROR(__xludf.DUMMYFUNCTION("""COMPUTED_VALUE"""),"Formula")</f>
        <v>Formula</v>
      </c>
      <c r="U3" s="35" t="str">
        <f>IFERROR(__xludf.DUMMYFUNCTION("""COMPUTED_VALUE"""),"Formula")</f>
        <v>Formula</v>
      </c>
      <c r="V3" s="35" t="str">
        <f>IFERROR(__xludf.DUMMYFUNCTION("""COMPUTED_VALUE"""),"Formula")</f>
        <v>Formula</v>
      </c>
      <c r="W3" s="37" t="str">
        <f>IFERROR(__xludf.DUMMYFUNCTION("""COMPUTED_VALUE"""),"Formula")</f>
        <v>Formula</v>
      </c>
      <c r="X3" s="38" t="str">
        <f>IFERROR(__xludf.DUMMYFUNCTION("""COMPUTED_VALUE"""),"Formula")</f>
        <v>Formula</v>
      </c>
      <c r="Y3" s="36"/>
      <c r="Z3" s="36"/>
      <c r="AA3" s="36"/>
      <c r="AB3" s="36"/>
      <c r="AC3" s="39"/>
      <c r="AD3" s="40" t="str">
        <f>IFERROR(__xludf.DUMMYFUNCTION("""COMPUTED_VALUE"""),"Formula")</f>
        <v>Formula</v>
      </c>
      <c r="AE3" s="41" t="str">
        <f>IFERROR(__xludf.DUMMYFUNCTION("""COMPUTED_VALUE"""),"To Fill")</f>
        <v>To Fill</v>
      </c>
      <c r="AF3" s="42" t="str">
        <f>IFERROR(__xludf.DUMMYFUNCTION("""COMPUTED_VALUE"""),"To Fill")</f>
        <v>To Fill</v>
      </c>
      <c r="AG3" s="40" t="str">
        <f>IFERROR(__xludf.DUMMYFUNCTION("""COMPUTED_VALUE"""),"To Fill")</f>
        <v>To Fill</v>
      </c>
      <c r="AH3" s="42" t="str">
        <f>IFERROR(__xludf.DUMMYFUNCTION("""COMPUTED_VALUE"""),"To Fill")</f>
        <v>To Fill</v>
      </c>
      <c r="AI3" s="40" t="str">
        <f>IFERROR(__xludf.DUMMYFUNCTION("""COMPUTED_VALUE"""),"To Fill")</f>
        <v>To Fill</v>
      </c>
      <c r="AJ3" s="35" t="str">
        <f>IFERROR(__xludf.DUMMYFUNCTION("""COMPUTED_VALUE"""),"To Fill")</f>
        <v>To Fill</v>
      </c>
      <c r="AK3" s="42" t="str">
        <f>IFERROR(__xludf.DUMMYFUNCTION("""COMPUTED_VALUE"""),"Formula")</f>
        <v>Formula</v>
      </c>
      <c r="AL3" s="43" t="str">
        <f>IFERROR(__xludf.DUMMYFUNCTION("""COMPUTED_VALUE"""),"To Fill")</f>
        <v>To Fill</v>
      </c>
      <c r="AM3" s="35" t="str">
        <f>IFERROR(__xludf.DUMMYFUNCTION("""COMPUTED_VALUE"""),"Formula")</f>
        <v>Formula</v>
      </c>
      <c r="AN3" s="39" t="str">
        <f>IFERROR(__xludf.DUMMYFUNCTION("""COMPUTED_VALUE"""),"Formula")</f>
        <v>Formula</v>
      </c>
      <c r="AO3" s="41" t="str">
        <f>IFERROR(__xludf.DUMMYFUNCTION("""COMPUTED_VALUE"""),"Formula")</f>
        <v>Formula</v>
      </c>
      <c r="AP3" s="41" t="str">
        <f>IFERROR(__xludf.DUMMYFUNCTION("""COMPUTED_VALUE"""),"Finance
To Fill")</f>
        <v>Finance
To Fill</v>
      </c>
      <c r="AQ3" s="42" t="str">
        <f>IFERROR(__xludf.DUMMYFUNCTION("""COMPUTED_VALUE"""),"Finance
To Fill")</f>
        <v>Finance
To Fill</v>
      </c>
      <c r="AR3" s="41" t="str">
        <f>IFERROR(__xludf.DUMMYFUNCTION("""COMPUTED_VALUE"""),"Finance
To Fill")</f>
        <v>Finance
To Fill</v>
      </c>
      <c r="AS3" s="41" t="str">
        <f>IFERROR(__xludf.DUMMYFUNCTION("""COMPUTED_VALUE"""),"To Fill")</f>
        <v>To Fill</v>
      </c>
      <c r="AT3" s="41" t="str">
        <f>IFERROR(__xludf.DUMMYFUNCTION("""COMPUTED_VALUE"""),"To Fill")</f>
        <v>To Fill</v>
      </c>
      <c r="AU3" s="41" t="str">
        <f>IFERROR(__xludf.DUMMYFUNCTION("""COMPUTED_VALUE"""),"To Fill")</f>
        <v>To Fill</v>
      </c>
      <c r="AV3" s="41" t="str">
        <f>IFERROR(__xludf.DUMMYFUNCTION("""COMPUTED_VALUE"""),"To Fill")</f>
        <v>To Fill</v>
      </c>
      <c r="AW3" s="41" t="str">
        <f>IFERROR(__xludf.DUMMYFUNCTION("""COMPUTED_VALUE"""),"To Fill")</f>
        <v>To Fill</v>
      </c>
      <c r="AX3" s="41" t="str">
        <f>IFERROR(__xludf.DUMMYFUNCTION("""COMPUTED_VALUE"""),"To Fill")</f>
        <v>To Fill</v>
      </c>
      <c r="AY3" s="44" t="str">
        <f>IFERROR(__xludf.DUMMYFUNCTION("""COMPUTED_VALUE"""),"To Fill")</f>
        <v>To Fill</v>
      </c>
      <c r="AZ3" s="45" t="str">
        <f>IFERROR(__xludf.DUMMYFUNCTION("""COMPUTED_VALUE"""),"Dream Fill")</f>
        <v>Dream Fill</v>
      </c>
      <c r="BA3" s="41" t="str">
        <f>IFERROR(__xludf.DUMMYFUNCTION("""COMPUTED_VALUE"""),"To Fill")</f>
        <v>To Fill</v>
      </c>
      <c r="BB3" s="41" t="str">
        <f>IFERROR(__xludf.DUMMYFUNCTION("""COMPUTED_VALUE"""),"To Fill")</f>
        <v>To Fill</v>
      </c>
      <c r="BC3" s="41" t="str">
        <f>IFERROR(__xludf.DUMMYFUNCTION("""COMPUTED_VALUE"""),"To Fill")</f>
        <v>To Fill</v>
      </c>
      <c r="BD3" s="41" t="str">
        <f>IFERROR(__xludf.DUMMYFUNCTION("""COMPUTED_VALUE"""),"To Fill")</f>
        <v>To Fill</v>
      </c>
      <c r="BE3" s="41" t="str">
        <f>IFERROR(__xludf.DUMMYFUNCTION("""COMPUTED_VALUE"""),"To Fill")</f>
        <v>To Fill</v>
      </c>
      <c r="BF3" s="41" t="str">
        <f>IFERROR(__xludf.DUMMYFUNCTION("""COMPUTED_VALUE"""),"To Fill")</f>
        <v>To Fill</v>
      </c>
      <c r="BG3" s="41" t="str">
        <f>IFERROR(__xludf.DUMMYFUNCTION("""COMPUTED_VALUE"""),"To Fill")</f>
        <v>To Fill</v>
      </c>
      <c r="BH3" s="46" t="str">
        <f>IFERROR(__xludf.DUMMYFUNCTION("""COMPUTED_VALUE"""),"To Fill")</f>
        <v>To Fill</v>
      </c>
      <c r="BI3" s="41"/>
      <c r="BJ3" s="44" t="str">
        <f>IFERROR(__xludf.DUMMYFUNCTION("""COMPUTED_VALUE"""),"To Fill")</f>
        <v>To Fill</v>
      </c>
      <c r="BK3" s="42" t="str">
        <f>IFERROR(__xludf.DUMMYFUNCTION("""COMPUTED_VALUE"""),"Dream Fill")</f>
        <v>Dream Fill</v>
      </c>
      <c r="BL3" s="42" t="str">
        <f>IFERROR(__xludf.DUMMYFUNCTION("""COMPUTED_VALUE"""),"To Fill")</f>
        <v>To Fill</v>
      </c>
      <c r="BM3" s="39" t="str">
        <f>IFERROR(__xludf.DUMMYFUNCTION("""COMPUTED_VALUE"""),"To Fill")</f>
        <v>To Fill</v>
      </c>
      <c r="BN3" s="2" t="str">
        <f>IFERROR(__xludf.DUMMYFUNCTION("""COMPUTED_VALUE"""),"Formula")</f>
        <v>Formula</v>
      </c>
      <c r="BO3" s="2"/>
      <c r="BP3" s="34"/>
      <c r="BQ3" s="2"/>
      <c r="BR3" s="2"/>
      <c r="BS3" s="25"/>
    </row>
    <row r="4">
      <c r="A4" s="47"/>
      <c r="B4" s="48"/>
      <c r="C4" s="49"/>
      <c r="D4" s="50"/>
      <c r="E4" s="51"/>
      <c r="F4" s="52"/>
      <c r="G4" s="50"/>
      <c r="H4" s="51"/>
      <c r="I4" s="51"/>
      <c r="J4" s="51"/>
      <c r="K4" s="52"/>
      <c r="L4" s="48"/>
      <c r="M4" s="48"/>
      <c r="N4" s="53"/>
      <c r="O4" s="54"/>
      <c r="P4" s="51"/>
      <c r="Q4" s="52"/>
      <c r="R4" s="55"/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58"/>
      <c r="AE4" s="51"/>
      <c r="AF4" s="52"/>
      <c r="AG4" s="59"/>
      <c r="AH4" s="51"/>
      <c r="AI4" s="60"/>
      <c r="AJ4" s="11"/>
      <c r="AK4" s="61"/>
      <c r="AL4" s="62"/>
      <c r="AN4" s="28"/>
      <c r="AO4" s="63"/>
      <c r="AP4" s="63" t="str">
        <f>IFERROR(__xludf.DUMMYFUNCTION("""COMPUTED_VALUE"""),"Cash Report
+ Fee")</f>
        <v>Cash Report
+ Fee</v>
      </c>
      <c r="AQ4" s="64" t="str">
        <f>IFERROR(__xludf.DUMMYFUNCTION("""COMPUTED_VALUE"""),"Cash Report
+ Fee")</f>
        <v>Cash Report
+ Fee</v>
      </c>
      <c r="AR4" s="65" t="str">
        <f>IFERROR(__xludf.DUMMYFUNCTION("""COMPUTED_VALUE"""),"Insertion")</f>
        <v>Insertion</v>
      </c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  <c r="BL4" s="68"/>
      <c r="BM4" s="69" t="str">
        <f>IFERROR(__xludf.DUMMYFUNCTION("""COMPUTED_VALUE"""),"Senior Approval")</f>
        <v>Senior Approval</v>
      </c>
      <c r="BN4" s="70" t="str">
        <f>IFERROR(__xludf.DUMMYFUNCTION("""COMPUTED_VALUE"""),"Time stamp")</f>
        <v>Time stamp</v>
      </c>
      <c r="BO4" s="71" t="str">
        <f>IFERROR(__xludf.DUMMYFUNCTION("""COMPUTED_VALUE"""),"AMS actualise number
Shopee banner ads to *management fee
")</f>
        <v>AMS actualise number
Shopee banner ads to *management fee
</v>
      </c>
      <c r="BP4" s="34"/>
      <c r="BQ4" s="34"/>
      <c r="BR4" s="34"/>
      <c r="BS4" s="5"/>
      <c r="BT4" s="5"/>
    </row>
    <row r="5">
      <c r="A5" s="72" t="str">
        <f>IFERROR(__xludf.DUMMYFUNCTION("""COMPUTED_VALUE"""),"April'26")</f>
        <v>April'26</v>
      </c>
      <c r="B5" s="73" t="str">
        <f>IFERROR(__xludf.DUMMYFUNCTION("""COMPUTED_VALUE"""),"Brand")</f>
        <v>Brand</v>
      </c>
      <c r="C5" s="74" t="str">
        <f>IFERROR(__xludf.DUMMYFUNCTION("""COMPUTED_VALUE"""),"Company Name")</f>
        <v>Company Name</v>
      </c>
      <c r="D5" s="75" t="str">
        <f>IFERROR(__xludf.DUMMYFUNCTION("""COMPUTED_VALUE"""),"Shopee AMS Payment")</f>
        <v>Shopee AMS Payment</v>
      </c>
      <c r="E5" s="76" t="str">
        <f>IFERROR(__xludf.DUMMYFUNCTION("""COMPUTED_VALUE"""),"MKT")</f>
        <v>MKT</v>
      </c>
      <c r="F5" s="77" t="str">
        <f>IFERROR(__xludf.DUMMYFUNCTION("""COMPUTED_VALUE"""),"KAM")</f>
        <v>KAM</v>
      </c>
      <c r="G5" s="78" t="str">
        <f>IFERROR(__xludf.DUMMYFUNCTION("""COMPUTED_VALUE"""),"FIN")</f>
        <v>FIN</v>
      </c>
      <c r="H5" s="79" t="str">
        <f>IFERROR(__xludf.DUMMYFUNCTION("""COMPUTED_VALUE"""),"All - Platform")</f>
        <v>All - Platform</v>
      </c>
      <c r="I5" s="79" t="str">
        <f>IFERROR(__xludf.DUMMYFUNCTION("""COMPUTED_VALUE"""),"LZD")</f>
        <v>LZD</v>
      </c>
      <c r="J5" s="79" t="str">
        <f>IFERROR(__xludf.DUMMYFUNCTION("""COMPUTED_VALUE"""),"SHP")</f>
        <v>SHP</v>
      </c>
      <c r="K5" s="77" t="str">
        <f>IFERROR(__xludf.DUMMYFUNCTION("""COMPUTED_VALUE"""),"TikTok")</f>
        <v>TikTok</v>
      </c>
      <c r="L5" s="79" t="str">
        <f>IFERROR(__xludf.DUMMYFUNCTION("""COMPUTED_VALUE"""),"Other")</f>
        <v>Other</v>
      </c>
      <c r="M5" s="79" t="str">
        <f>IFERROR(__xludf.DUMMYFUNCTION("""COMPUTED_VALUE"""),"Minimum Fee
Flate rate
(if have)")</f>
        <v>Minimum Fee
Flate rate
(if have)</v>
      </c>
      <c r="N5" s="80" t="str">
        <f>IFERROR(__xludf.DUMMYFUNCTION("""COMPUTED_VALUE"""),"Finance 
Fee (%)")</f>
        <v>Finance 
Fee (%)</v>
      </c>
      <c r="O5" s="80" t="str">
        <f>IFERROR(__xludf.DUMMYFUNCTION("""COMPUTED_VALUE"""),"INV. No")</f>
        <v>INV. No</v>
      </c>
      <c r="P5" s="81" t="str">
        <f>IFERROR(__xludf.DUMMYFUNCTION("""COMPUTED_VALUE"""),"Amount
(EX - VAT)")</f>
        <v>Amount
(EX - VAT)</v>
      </c>
      <c r="Q5" s="82" t="str">
        <f>IFERROR(__xludf.DUMMYFUNCTION("""COMPUTED_VALUE"""),"VAT")</f>
        <v>VAT</v>
      </c>
      <c r="R5" s="83" t="str">
        <f>IFERROR(__xludf.DUMMYFUNCTION("""COMPUTED_VALUE"""),"TOTAL")</f>
        <v>TOTAL</v>
      </c>
      <c r="S5" s="83" t="str">
        <f>IFERROR(__xludf.DUMMYFUNCTION("""COMPUTED_VALUE"""),"Finance
Fee")</f>
        <v>Finance
Fee</v>
      </c>
      <c r="T5" s="83" t="str">
        <f>IFERROR(__xludf.DUMMYFUNCTION("""COMPUTED_VALUE"""),"Extra 
Services
(5)")</f>
        <v>Extra 
Services
(5)</v>
      </c>
      <c r="U5" s="84" t="str">
        <f>IFERROR(__xludf.DUMMYFUNCTION("""COMPUTED_VALUE"""),"Campaign 
Package
(KAM)
(4)")</f>
        <v>Campaign 
Package
(KAM)
(4)</v>
      </c>
      <c r="V5" s="83" t="str">
        <f>IFERROR(__xludf.DUMMYFUNCTION("""COMPUTED_VALUE"""),"Advance Credit 
Top up
(3)")</f>
        <v>Advance Credit 
Top up
(3)</v>
      </c>
      <c r="W5" s="85" t="str">
        <f>IFERROR(__xludf.DUMMYFUNCTION("""COMPUTED_VALUE"""),"Intrepid
PAID Advance
ADs
(2)")</f>
        <v>Intrepid
PAID Advance
ADs
(2)</v>
      </c>
      <c r="X5" s="86" t="str">
        <f>IFERROR(__xludf.DUMMYFUNCTION("""COMPUTED_VALUE"""),"Management 
Fee")</f>
        <v>Management 
Fee</v>
      </c>
      <c r="Y5" s="87" t="str">
        <f>IFERROR(__xludf.DUMMYFUNCTION("""COMPUTED_VALUE"""),"SHOPEE
Total Marketing Spending")</f>
        <v>SHOPEE
Total Marketing Spending</v>
      </c>
      <c r="Z5" s="88" t="str">
        <f>IFERROR(__xludf.DUMMYFUNCTION("""COMPUTED_VALUE"""),"LAZADA Total Marketing Spending")</f>
        <v>LAZADA Total Marketing Spending</v>
      </c>
      <c r="AA5" s="89" t="str">
        <f>IFERROR(__xludf.DUMMYFUNCTION("""COMPUTED_VALUE"""),"TIKTOK Total Marketing Spending")</f>
        <v>TIKTOK Total Marketing Spending</v>
      </c>
      <c r="AB5" s="90" t="str">
        <f>IFERROR(__xludf.DUMMYFUNCTION("""COMPUTED_VALUE"""),"FB Total Marketing Spending")</f>
        <v>FB Total Marketing Spending</v>
      </c>
      <c r="AC5" s="91" t="str">
        <f>IFERROR(__xludf.DUMMYFUNCTION("""COMPUTED_VALUE"""),"Google 
Total Marketing Spending")</f>
        <v>Google 
Total Marketing Spending</v>
      </c>
      <c r="AD5" s="92" t="str">
        <f>IFERROR(__xludf.DUMMYFUNCTION("""COMPUTED_VALUE"""),"Total 
Marketing
Spending
(1)")</f>
        <v>Total 
Marketing
Spending
(1)</v>
      </c>
      <c r="AE5" s="93" t="str">
        <f>IFERROR(__xludf.DUMMYFUNCTION("""COMPUTED_VALUE"""),"Live 
Streaming")</f>
        <v>Live 
Streaming</v>
      </c>
      <c r="AF5" s="94" t="str">
        <f>IFERROR(__xludf.DUMMYFUNCTION("""COMPUTED_VALUE"""),"KOL
Page Review
Content")</f>
        <v>KOL
Page Review
Content</v>
      </c>
      <c r="AG5" s="95" t="str">
        <f>IFERROR(__xludf.DUMMYFUNCTION("""COMPUTED_VALUE"""),"Others")</f>
        <v>Others</v>
      </c>
      <c r="AH5" s="96" t="str">
        <f>IFERROR(__xludf.DUMMYFUNCTION("""COMPUTED_VALUE"""),"Lazada")</f>
        <v>Lazada</v>
      </c>
      <c r="AI5" s="97" t="str">
        <f>IFERROR(__xludf.DUMMYFUNCTION("""COMPUTED_VALUE"""),"Shopee")</f>
        <v>Shopee</v>
      </c>
      <c r="AJ5" s="98" t="str">
        <f>IFERROR(__xludf.DUMMYFUNCTION("""COMPUTED_VALUE"""),"Lazada
Credit card")</f>
        <v>Lazada
Credit card</v>
      </c>
      <c r="AK5" s="96" t="str">
        <f>IFERROR(__xludf.DUMMYFUNCTION("""COMPUTED_VALUE"""),"Lazada 
Rebate
[Ex. VAT]")</f>
        <v>Lazada 
Rebate
[Ex. VAT]</v>
      </c>
      <c r="AL5" s="99" t="str">
        <f>IFERROR(__xludf.DUMMYFUNCTION("""COMPUTED_VALUE"""),"Shopee")</f>
        <v>Shopee</v>
      </c>
      <c r="AM5" s="100" t="str">
        <f>IFERROR(__xludf.DUMMYFUNCTION("""COMPUTED_VALUE"""),"TOTAL
Facebook Ads
[Ex. VAT]")</f>
        <v>TOTAL
Facebook Ads
[Ex. VAT]</v>
      </c>
      <c r="AN5" s="101" t="str">
        <f>IFERROR(__xludf.DUMMYFUNCTION("""COMPUTED_VALUE"""),"TOTAL
Tiktok Ads
[Ex. VAT]")</f>
        <v>TOTAL
Tiktok Ads
[Ex. VAT]</v>
      </c>
      <c r="AO5" s="102" t="str">
        <f>IFERROR(__xludf.DUMMYFUNCTION("""COMPUTED_VALUE"""),"TOTAL 
Google
[Ex. VAT]")</f>
        <v>TOTAL 
Google
[Ex. VAT]</v>
      </c>
      <c r="AP5" s="103" t="str">
        <f>IFERROR(__xludf.DUMMYFUNCTION("""COMPUTED_VALUE"""),"Lazada 
Affiliate
[Ex. VAT]")</f>
        <v>Lazada 
Affiliate
[Ex. VAT]</v>
      </c>
      <c r="AQ5" s="104" t="str">
        <f>IFERROR(__xludf.DUMMYFUNCTION("""COMPUTED_VALUE"""),"Tiktok
Affiliate
[Ex. VAT]")</f>
        <v>Tiktok
Affiliate
[Ex. VAT]</v>
      </c>
      <c r="AR5" s="105" t="str">
        <f>IFERROR(__xludf.DUMMYFUNCTION("""COMPUTED_VALUE"""),"Shopee 
AMS
[Ex. VAT]")</f>
        <v>Shopee 
AMS
[Ex. VAT]</v>
      </c>
      <c r="AS5" s="105" t="str">
        <f>IFERROR(__xludf.DUMMYFUNCTION("""COMPUTED_VALUE"""),"Search brand ads +
Display ads
[Ex. VAT]")</f>
        <v>Search brand ads +
Display ads
[Ex. VAT]</v>
      </c>
      <c r="AT5" s="105" t="str">
        <f>IFERROR(__xludf.DUMMYFUNCTION("""COMPUTED_VALUE"""),"Shopee
Ads
[Ex. VAT]")</f>
        <v>Shopee
Ads
[Ex. VAT]</v>
      </c>
      <c r="AU5" s="105" t="str">
        <f>IFERROR(__xludf.DUMMYFUNCTION("""COMPUTED_VALUE"""),"Shopee Live Ads
[Ex. VAT]")</f>
        <v>Shopee Live Ads
[Ex. VAT]</v>
      </c>
      <c r="AV5" s="106" t="str">
        <f>IFERROR(__xludf.DUMMYFUNCTION("""COMPUTED_VALUE"""),"Shopee 
AMS
[Ex. VAT]")</f>
        <v>Shopee 
AMS
[Ex. VAT]</v>
      </c>
      <c r="AW5" s="107" t="str">
        <f>IFERROR(__xludf.DUMMYFUNCTION("""COMPUTED_VALUE"""),"Lazada 
Discovery
[Ex. VAT]")</f>
        <v>Lazada 
Discovery
[Ex. VAT]</v>
      </c>
      <c r="AX5" s="102" t="str">
        <f>IFERROR(__xludf.DUMMYFUNCTION("""COMPUTED_VALUE"""),"Lazada 
Sponsored Max
[EX. VAT]")</f>
        <v>Lazada 
Sponsored Max
[EX. VAT]</v>
      </c>
      <c r="AY5" s="108" t="str">
        <f>IFERROR(__xludf.DUMMYFUNCTION("""COMPUTED_VALUE"""),"Lazada 
Affiliate
[Ex. VAT]")</f>
        <v>Lazada 
Affiliate
[Ex. VAT]</v>
      </c>
      <c r="AZ5" s="109" t="str">
        <f>IFERROR(__xludf.DUMMYFUNCTION("""COMPUTED_VALUE"""),"Lazada 
Rebate
[Ex. VAT]")</f>
        <v>Lazada 
Rebate
[Ex. VAT]</v>
      </c>
      <c r="BA5" s="110" t="str">
        <f>IFERROR(__xludf.DUMMYFUNCTION("""COMPUTED_VALUE"""),"Lazada
Sponsored
Display
[EX. VAT]")</f>
        <v>Lazada
Sponsored
Display
[EX. VAT]</v>
      </c>
      <c r="BB5" s="111" t="str">
        <f>IFERROR(__xludf.DUMMYFUNCTION("""COMPUTED_VALUE"""),"FB to 
Lazada
[Ex. VAT]")</f>
        <v>FB to 
Lazada
[Ex. VAT]</v>
      </c>
      <c r="BC5" s="112" t="str">
        <f>IFERROR(__xludf.DUMMYFUNCTION("""COMPUTED_VALUE"""),"FB to 
Shopee
 [Ex. VAT]")</f>
        <v>FB to 
Shopee
 [Ex. VAT]</v>
      </c>
      <c r="BD5" s="112" t="str">
        <f>IFERROR(__xludf.DUMMYFUNCTION("""COMPUTED_VALUE"""),"FB to 
Others
[Ex. VAT]")</f>
        <v>FB to 
Others
[Ex. VAT]</v>
      </c>
      <c r="BE5" s="113" t="str">
        <f>IFERROR(__xludf.DUMMYFUNCTION("""COMPUTED_VALUE"""),"FB to 
Website
[Ex. VAT]")</f>
        <v>FB to 
Website
[Ex. VAT]</v>
      </c>
      <c r="BF5" s="114" t="str">
        <f>IFERROR(__xludf.DUMMYFUNCTION("""COMPUTED_VALUE"""),"Others
[Ex. VAT]")</f>
        <v>Others
[Ex. VAT]</v>
      </c>
      <c r="BG5" s="114" t="str">
        <f>IFERROR(__xludf.DUMMYFUNCTION("""COMPUTED_VALUE"""),"Tiktok
Shop Ads
[Ex. VAT]")</f>
        <v>Tiktok
Shop Ads
[Ex. VAT]</v>
      </c>
      <c r="BH5" s="114" t="str">
        <f>IFERROR(__xludf.DUMMYFUNCTION("""COMPUTED_VALUE"""),"Tiktok
Ads Others
[Ex. VAT]")</f>
        <v>Tiktok
Ads Others
[Ex. VAT]</v>
      </c>
      <c r="BI5" s="114" t="str">
        <f>IFERROR(__xludf.DUMMYFUNCTION("""COMPUTED_VALUE"""),"Tiktok
Ads Credit
[Ex. VAT]")</f>
        <v>Tiktok
Ads Credit
[Ex. VAT]</v>
      </c>
      <c r="BJ5" s="115" t="str">
        <f>IFERROR(__xludf.DUMMYFUNCTION("""COMPUTED_VALUE"""),"Tiktok
Affiliate 
[Ex. VAT]")</f>
        <v>Tiktok
Affiliate 
[Ex. VAT]</v>
      </c>
      <c r="BK5" s="116" t="str">
        <f>IFERROR(__xludf.DUMMYFUNCTION("""COMPUTED_VALUE"""),"TikTok Rebate 
[Ex. VAT]")</f>
        <v>TikTok Rebate 
[Ex. VAT]</v>
      </c>
      <c r="BL5" s="117"/>
      <c r="BN5" s="118"/>
      <c r="BO5" s="2" t="str">
        <f>IFERROR(__xludf.DUMMYFUNCTION("""COMPUTED_VALUE"""),"Remark")</f>
        <v>Remark</v>
      </c>
      <c r="BP5" s="34"/>
      <c r="BQ5" s="34"/>
      <c r="BR5" s="34"/>
      <c r="BS5" s="34"/>
      <c r="BT5" s="34"/>
    </row>
    <row r="6">
      <c r="A6" s="119" t="str">
        <f>IFERROR(__xludf.DUMMYFUNCTION("""COMPUTED_VALUE"""),"April'26")</f>
        <v>April'26</v>
      </c>
      <c r="B6" s="120" t="str">
        <f>IFERROR(__xludf.DUMMYFUNCTION("""COMPUTED_VALUE"""),"INT")</f>
        <v>INT</v>
      </c>
      <c r="C6" s="121"/>
      <c r="D6" s="122"/>
      <c r="E6" s="123"/>
      <c r="F6" s="124"/>
      <c r="G6" s="125"/>
      <c r="H6" s="120"/>
      <c r="I6" s="120"/>
      <c r="J6" s="120"/>
      <c r="K6" s="124"/>
      <c r="L6" s="120"/>
      <c r="M6" s="120"/>
      <c r="N6" s="126"/>
      <c r="O6" s="126"/>
      <c r="P6" s="127"/>
      <c r="Q6" s="128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8"/>
      <c r="AD6" s="126"/>
      <c r="AE6" s="127"/>
      <c r="AF6" s="128"/>
      <c r="AG6" s="126"/>
      <c r="AH6" s="128"/>
      <c r="AI6" s="126"/>
      <c r="AJ6" s="129"/>
      <c r="AK6" s="128"/>
      <c r="AL6" s="126"/>
      <c r="AM6" s="127"/>
      <c r="AN6" s="128"/>
      <c r="AO6" s="127"/>
      <c r="AP6" s="129"/>
      <c r="AQ6" s="128"/>
      <c r="AR6" s="127"/>
      <c r="AS6" s="127"/>
      <c r="AT6" s="127"/>
      <c r="AU6" s="127"/>
      <c r="AV6" s="127"/>
      <c r="AW6" s="127"/>
      <c r="AX6" s="129"/>
      <c r="AY6" s="129"/>
      <c r="AZ6" s="130"/>
      <c r="BA6" s="131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32"/>
      <c r="BM6" s="129"/>
      <c r="BN6" s="2"/>
      <c r="BO6" s="2"/>
      <c r="BP6" s="133"/>
      <c r="BQ6" s="133"/>
      <c r="BR6" s="133"/>
      <c r="BS6" s="2"/>
      <c r="BT6" s="2"/>
    </row>
    <row r="7" hidden="1">
      <c r="A7" s="134" t="str">
        <f>IFERROR(__xludf.DUMMYFUNCTION("""COMPUTED_VALUE"""),"April'26")</f>
        <v>April'26</v>
      </c>
      <c r="B7" s="135" t="str">
        <f>IFERROR(__xludf.DUMMYFUNCTION("""COMPUTED_VALUE"""),"Retails Model")</f>
        <v>Retails Model</v>
      </c>
      <c r="C7" s="136"/>
      <c r="D7" s="137"/>
      <c r="E7" s="138"/>
      <c r="F7" s="139"/>
      <c r="G7" s="140"/>
      <c r="H7" s="141"/>
      <c r="I7" s="141"/>
      <c r="J7" s="141"/>
      <c r="K7" s="142"/>
      <c r="L7" s="141"/>
      <c r="M7" s="141"/>
      <c r="N7" s="143"/>
      <c r="O7" s="144"/>
      <c r="P7" s="141"/>
      <c r="Q7" s="142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6"/>
      <c r="AD7" s="143"/>
      <c r="AE7" s="145"/>
      <c r="AF7" s="146"/>
      <c r="AG7" s="143"/>
      <c r="AH7" s="146"/>
      <c r="AI7" s="144"/>
      <c r="AJ7" s="141"/>
      <c r="AK7" s="142"/>
      <c r="AL7" s="143"/>
      <c r="AM7" s="145"/>
      <c r="AN7" s="146"/>
      <c r="AO7" s="145"/>
      <c r="AP7" s="145"/>
      <c r="AQ7" s="146"/>
      <c r="AR7" s="145"/>
      <c r="AS7" s="145"/>
      <c r="AT7" s="145"/>
      <c r="AU7" s="147"/>
      <c r="AV7" s="145"/>
      <c r="AW7" s="145"/>
      <c r="AX7" s="147"/>
      <c r="AY7" s="145"/>
      <c r="AZ7" s="148"/>
      <c r="BA7" s="149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50"/>
      <c r="BM7" s="147"/>
      <c r="BN7" s="2"/>
      <c r="BO7" s="2"/>
      <c r="BP7" s="133"/>
      <c r="BQ7" s="133"/>
      <c r="BR7" s="133"/>
      <c r="BS7" s="25"/>
    </row>
    <row r="8">
      <c r="A8" s="151" t="str">
        <f>IFERROR(__xludf.DUMMYFUNCTION("""COMPUTED_VALUE"""),"April'26")</f>
        <v>April'26</v>
      </c>
      <c r="B8" s="152" t="str">
        <f>IFERROR(__xludf.DUMMYFUNCTION("""COMPUTED_VALUE"""),"Cetaphil - Retail")</f>
        <v>Cetaphil - Retail</v>
      </c>
      <c r="C8" s="153" t="str">
        <f>IFERROR(__xludf.DUMMYFUNCTION("""COMPUTED_VALUE"""),"5560 Galderma (Thailand) Co., Ltd.")</f>
        <v>5560 Galderma (Thailand) Co., Ltd.</v>
      </c>
      <c r="D8" s="154" t="str">
        <f>IFERROR(__xludf.DUMMYFUNCTION("""COMPUTED_VALUE"""),"Invoice + Packgage")</f>
        <v>Invoice + Packgage</v>
      </c>
      <c r="E8" s="155" t="str">
        <f>IFERROR(__xludf.DUMMYFUNCTION("""COMPUTED_VALUE"""),"Amy")</f>
        <v>Amy</v>
      </c>
      <c r="F8" s="156" t="str">
        <f>IFERROR(__xludf.DUMMYFUNCTION("""COMPUTED_VALUE"""),"New")</f>
        <v>New</v>
      </c>
      <c r="G8" s="157" t="str">
        <f>IFERROR(__xludf.DUMMYFUNCTION("""COMPUTED_VALUE"""),"Pla")</f>
        <v>Pla</v>
      </c>
      <c r="H8" s="157">
        <f>IFERROR(__xludf.DUMMYFUNCTION("""COMPUTED_VALUE"""),0.0)</f>
        <v>0</v>
      </c>
      <c r="I8" s="157">
        <f>IFERROR(__xludf.DUMMYFUNCTION("""COMPUTED_VALUE"""),0.0)</f>
        <v>0</v>
      </c>
      <c r="J8" s="157">
        <f>IFERROR(__xludf.DUMMYFUNCTION("""COMPUTED_VALUE"""),0.0)</f>
        <v>0</v>
      </c>
      <c r="K8" s="158">
        <f>IFERROR(__xludf.DUMMYFUNCTION("""COMPUTED_VALUE"""),0.0)</f>
        <v>0</v>
      </c>
      <c r="L8" s="159">
        <f>IFERROR(__xludf.DUMMYFUNCTION("""COMPUTED_VALUE"""),0.0)</f>
        <v>0</v>
      </c>
      <c r="M8" s="34">
        <f>IFERROR(__xludf.DUMMYFUNCTION("""COMPUTED_VALUE"""),25000.0)</f>
        <v>25000</v>
      </c>
      <c r="N8" s="160"/>
      <c r="O8" s="161"/>
      <c r="P8" s="162">
        <f>IFERROR(__xludf.DUMMYFUNCTION("""COMPUTED_VALUE"""),648665.03)</f>
        <v>648665.03</v>
      </c>
      <c r="Q8" s="163">
        <f>IFERROR(__xludf.DUMMYFUNCTION("""COMPUTED_VALUE"""),45406.55210000001)</f>
        <v>45406.5521</v>
      </c>
      <c r="R8" s="164">
        <f>IFERROR(__xludf.DUMMYFUNCTION("""COMPUTED_VALUE"""),694071.5821)</f>
        <v>694071.5821</v>
      </c>
      <c r="S8" s="164">
        <f>IFERROR(__xludf.DUMMYFUNCTION("""COMPUTED_VALUE"""),0.0)</f>
        <v>0</v>
      </c>
      <c r="T8" s="164">
        <f>IFERROR(__xludf.DUMMYFUNCTION("""COMPUTED_VALUE"""),0.0)</f>
        <v>0</v>
      </c>
      <c r="U8" s="164">
        <f>IFERROR(__xludf.DUMMYFUNCTION("""COMPUTED_VALUE"""),0.0)</f>
        <v>0</v>
      </c>
      <c r="V8" s="164">
        <f>IFERROR(__xludf.DUMMYFUNCTION("""COMPUTED_VALUE"""),381000.0)</f>
        <v>381000</v>
      </c>
      <c r="W8" s="164">
        <f>IFERROR(__xludf.DUMMYFUNCTION("""COMPUTED_VALUE"""),242665.03)</f>
        <v>242665.03</v>
      </c>
      <c r="X8" s="165">
        <f>IFERROR(__xludf.DUMMYFUNCTION("""COMPUTED_VALUE"""),25000.0)</f>
        <v>25000</v>
      </c>
      <c r="Y8" s="165">
        <f>IFERROR(__xludf.DUMMYFUNCTION("""COMPUTED_VALUE"""),476853.6)</f>
        <v>476853.6</v>
      </c>
      <c r="Z8" s="165">
        <f>IFERROR(__xludf.DUMMYFUNCTION("""COMPUTED_VALUE"""),75200.58)</f>
        <v>75200.58</v>
      </c>
      <c r="AA8" s="165">
        <f>IFERROR(__xludf.DUMMYFUNCTION("""COMPUTED_VALUE"""),0.0)</f>
        <v>0</v>
      </c>
      <c r="AB8" s="165">
        <f>IFERROR(__xludf.DUMMYFUNCTION("""COMPUTED_VALUE"""),0.0)</f>
        <v>0</v>
      </c>
      <c r="AC8" s="166">
        <f>IFERROR(__xludf.DUMMYFUNCTION("""COMPUTED_VALUE"""),0.0)</f>
        <v>0</v>
      </c>
      <c r="AD8" s="167">
        <f>IFERROR(__xludf.DUMMYFUNCTION("""COMPUTED_VALUE"""),698205.6699999999)</f>
        <v>698205.67</v>
      </c>
      <c r="AE8" s="17"/>
      <c r="AF8" s="168"/>
      <c r="AG8" s="167"/>
      <c r="AH8" s="168"/>
      <c r="AI8" s="169"/>
      <c r="AJ8" s="133">
        <f>IFERROR(__xludf.DUMMYFUNCTION("""COMPUTED_VALUE"""),46000.0)</f>
        <v>46000</v>
      </c>
      <c r="AK8" s="170"/>
      <c r="AL8" s="167">
        <f>IFERROR(__xludf.DUMMYFUNCTION("""COMPUTED_VALUE"""),335000.0)</f>
        <v>335000</v>
      </c>
      <c r="AM8" s="171"/>
      <c r="AN8" s="168">
        <f>IFERROR(__xludf.DUMMYFUNCTION("""COMPUTED_VALUE"""),0.0)</f>
        <v>0</v>
      </c>
      <c r="AO8" s="171"/>
      <c r="AP8" s="171">
        <f>IFERROR(__xludf.DUMMYFUNCTION("""COMPUTED_VALUE"""),51229.84)</f>
        <v>51229.84</v>
      </c>
      <c r="AQ8" s="172">
        <f>IFERROR(__xludf.DUMMYFUNCTION("""COMPUTED_VALUE"""),191435.19)</f>
        <v>191435.19</v>
      </c>
      <c r="AR8" s="173"/>
      <c r="AS8" s="173">
        <f>IFERROR(__xludf.DUMMYFUNCTION("""COMPUTED_VALUE"""),550.0)</f>
        <v>550</v>
      </c>
      <c r="AT8" s="174">
        <f>IFERROR(__xludf.DUMMYFUNCTION("""COMPUTED_VALUE"""),335043.6)</f>
        <v>335043.6</v>
      </c>
      <c r="AU8" s="175">
        <f>IFERROR(__xludf.DUMMYFUNCTION("""COMPUTED_VALUE"""),0.0)</f>
        <v>0</v>
      </c>
      <c r="AV8" s="175">
        <f>IFERROR(__xludf.DUMMYFUNCTION("""COMPUTED_VALUE"""),141260.0)</f>
        <v>141260</v>
      </c>
      <c r="AW8" s="175">
        <f>IFERROR(__xludf.DUMMYFUNCTION("""COMPUTED_VALUE"""),42882.92)</f>
        <v>42882.92</v>
      </c>
      <c r="AX8" s="175">
        <f>IFERROR(__xludf.DUMMYFUNCTION("""COMPUTED_VALUE"""),4978.54)</f>
        <v>4978.54</v>
      </c>
      <c r="AY8" s="17">
        <f>IFERROR(__xludf.DUMMYFUNCTION("""COMPUTED_VALUE"""),27339.12)</f>
        <v>27339.12</v>
      </c>
      <c r="AZ8" s="176"/>
      <c r="BA8" s="177"/>
      <c r="BB8" s="17"/>
      <c r="BC8" s="17"/>
      <c r="BD8" s="17"/>
      <c r="BE8" s="17"/>
      <c r="BF8" s="178"/>
      <c r="BG8" s="178">
        <f>IFERROR(__xludf.DUMMYFUNCTION("""COMPUTED_VALUE"""),0.0)</f>
        <v>0</v>
      </c>
      <c r="BH8" s="17">
        <f>IFERROR(__xludf.DUMMYFUNCTION("""COMPUTED_VALUE"""),0.0)</f>
        <v>0</v>
      </c>
      <c r="BI8" s="173"/>
      <c r="BJ8" s="17">
        <f>IFERROR(__xludf.DUMMYFUNCTION("""COMPUTED_VALUE"""),146151.49)</f>
        <v>146151.49</v>
      </c>
      <c r="BK8" s="17"/>
      <c r="BL8" s="179"/>
      <c r="BM8" s="180" t="str">
        <f>IFERROR(__xludf.DUMMYFUNCTION("""COMPUTED_VALUE"""),"Approval")</f>
        <v>Approval</v>
      </c>
      <c r="BN8" s="181">
        <f>IFERROR(__xludf.DUMMYFUNCTION("""COMPUTED_VALUE"""),46146.94331949074)</f>
        <v>46146.94332</v>
      </c>
      <c r="BO8" s="2"/>
      <c r="BP8" s="133"/>
      <c r="BQ8" s="133"/>
      <c r="BR8" s="133"/>
      <c r="BS8" s="25"/>
    </row>
    <row r="9" hidden="1">
      <c r="A9" s="151" t="str">
        <f>IFERROR(__xludf.DUMMYFUNCTION("""COMPUTED_VALUE"""),"April'26")</f>
        <v>April'26</v>
      </c>
      <c r="B9" s="152" t="str">
        <f>IFERROR(__xludf.DUMMYFUNCTION("""COMPUTED_VALUE"""),"Twinings - Retail (LZD &amp; SHP)")</f>
        <v>Twinings - Retail (LZD &amp; SHP)</v>
      </c>
      <c r="C9" s="153" t="str">
        <f>IFERROR(__xludf.DUMMYFUNCTION("""COMPUTED_VALUE"""),"5029 AB Food &amp; Beverages (Thailand) Ltd.")</f>
        <v>5029 AB Food &amp; Beverages (Thailand) Ltd.</v>
      </c>
      <c r="D9" s="182" t="str">
        <f>IFERROR(__xludf.DUMMYFUNCTION("""COMPUTED_VALUE"""),"Invoice + Packgage")</f>
        <v>Invoice + Packgage</v>
      </c>
      <c r="E9" s="155" t="str">
        <f>IFERROR(__xludf.DUMMYFUNCTION("""COMPUTED_VALUE"""),"Win")</f>
        <v>Win</v>
      </c>
      <c r="F9" s="183" t="str">
        <f>IFERROR(__xludf.DUMMYFUNCTION("""COMPUTED_VALUE"""),"Pin")</f>
        <v>Pin</v>
      </c>
      <c r="G9" s="157" t="str">
        <f>IFERROR(__xludf.DUMMYFUNCTION("""COMPUTED_VALUE"""),"Nat")</f>
        <v>Nat</v>
      </c>
      <c r="H9" s="157">
        <f>IFERROR(__xludf.DUMMYFUNCTION("""COMPUTED_VALUE"""),0.15)</f>
        <v>0.15</v>
      </c>
      <c r="I9" s="157">
        <f>IFERROR(__xludf.DUMMYFUNCTION("""COMPUTED_VALUE"""),0.0)</f>
        <v>0</v>
      </c>
      <c r="J9" s="157">
        <f>IFERROR(__xludf.DUMMYFUNCTION("""COMPUTED_VALUE"""),0.0)</f>
        <v>0</v>
      </c>
      <c r="K9" s="158">
        <f>IFERROR(__xludf.DUMMYFUNCTION("""COMPUTED_VALUE"""),0.0)</f>
        <v>0</v>
      </c>
      <c r="L9" s="157">
        <f>IFERROR(__xludf.DUMMYFUNCTION("""COMPUTED_VALUE"""),0.0)</f>
        <v>0</v>
      </c>
      <c r="M9" s="3">
        <f>IFERROR(__xludf.DUMMYFUNCTION("""COMPUTED_VALUE"""),0.0)</f>
        <v>0</v>
      </c>
      <c r="N9" s="160"/>
      <c r="O9" s="184"/>
      <c r="P9" s="164">
        <f>IFERROR(__xludf.DUMMYFUNCTION("""COMPUTED_VALUE"""),16185.860499999999)</f>
        <v>16185.8605</v>
      </c>
      <c r="Q9" s="166">
        <f>IFERROR(__xludf.DUMMYFUNCTION("""COMPUTED_VALUE"""),1133.010235)</f>
        <v>1133.010235</v>
      </c>
      <c r="R9" s="164">
        <f>IFERROR(__xludf.DUMMYFUNCTION("""COMPUTED_VALUE"""),17318.870735)</f>
        <v>17318.87074</v>
      </c>
      <c r="S9" s="164">
        <f>IFERROR(__xludf.DUMMYFUNCTION("""COMPUTED_VALUE"""),0.0)</f>
        <v>0</v>
      </c>
      <c r="T9" s="164">
        <f>IFERROR(__xludf.DUMMYFUNCTION("""COMPUTED_VALUE"""),0.0)</f>
        <v>0</v>
      </c>
      <c r="U9" s="164">
        <f>IFERROR(__xludf.DUMMYFUNCTION("""COMPUTED_VALUE"""),0.0)</f>
        <v>0</v>
      </c>
      <c r="V9" s="164">
        <f>IFERROR(__xludf.DUMMYFUNCTION("""COMPUTED_VALUE"""),0.0)</f>
        <v>0</v>
      </c>
      <c r="W9" s="164">
        <f>IFERROR(__xludf.DUMMYFUNCTION("""COMPUTED_VALUE"""),8887.75)</f>
        <v>8887.75</v>
      </c>
      <c r="X9" s="165">
        <f>IFERROR(__xludf.DUMMYFUNCTION("""COMPUTED_VALUE"""),7298.1105)</f>
        <v>7298.1105</v>
      </c>
      <c r="Y9" s="165">
        <f>IFERROR(__xludf.DUMMYFUNCTION("""COMPUTED_VALUE"""),46540.75)</f>
        <v>46540.75</v>
      </c>
      <c r="Z9" s="165">
        <f>IFERROR(__xludf.DUMMYFUNCTION("""COMPUTED_VALUE"""),2113.32)</f>
        <v>2113.32</v>
      </c>
      <c r="AA9" s="165">
        <f>IFERROR(__xludf.DUMMYFUNCTION("""COMPUTED_VALUE"""),0.0)</f>
        <v>0</v>
      </c>
      <c r="AB9" s="165">
        <f>IFERROR(__xludf.DUMMYFUNCTION("""COMPUTED_VALUE"""),0.0)</f>
        <v>0</v>
      </c>
      <c r="AC9" s="166">
        <f>IFERROR(__xludf.DUMMYFUNCTION("""COMPUTED_VALUE"""),0.0)</f>
        <v>0</v>
      </c>
      <c r="AD9" s="167">
        <f>IFERROR(__xludf.DUMMYFUNCTION("""COMPUTED_VALUE"""),48654.07)</f>
        <v>48654.07</v>
      </c>
      <c r="AE9" s="17"/>
      <c r="AF9" s="168"/>
      <c r="AG9" s="169"/>
      <c r="AH9" s="170">
        <f>IFERROR(__xludf.DUMMYFUNCTION("""COMPUTED_VALUE"""),0.0)</f>
        <v>0</v>
      </c>
      <c r="AI9" s="169">
        <f>IFERROR(__xludf.DUMMYFUNCTION("""COMPUTED_VALUE"""),0.0)</f>
        <v>0</v>
      </c>
      <c r="AJ9" s="133">
        <f>IFERROR(__xludf.DUMMYFUNCTION("""COMPUTED_VALUE"""),0.0)</f>
        <v>0</v>
      </c>
      <c r="AK9" s="170"/>
      <c r="AL9" s="185">
        <f>IFERROR(__xludf.DUMMYFUNCTION("""COMPUTED_VALUE"""),0.0)</f>
        <v>0</v>
      </c>
      <c r="AM9" s="171">
        <f>IFERROR(__xludf.DUMMYFUNCTION("""COMPUTED_VALUE"""),0.0)</f>
        <v>0</v>
      </c>
      <c r="AN9" s="168">
        <f>IFERROR(__xludf.DUMMYFUNCTION("""COMPUTED_VALUE"""),0.0)</f>
        <v>0</v>
      </c>
      <c r="AO9" s="133"/>
      <c r="AP9" s="17"/>
      <c r="AQ9" s="186"/>
      <c r="AR9" s="17">
        <f>IFERROR(__xludf.DUMMYFUNCTION("""COMPUTED_VALUE"""),8887.75)</f>
        <v>8887.75</v>
      </c>
      <c r="AS9" s="173"/>
      <c r="AT9" s="17">
        <f>IFERROR(__xludf.DUMMYFUNCTION("""COMPUTED_VALUE"""),37653.0)</f>
        <v>37653</v>
      </c>
      <c r="AU9" s="173"/>
      <c r="AV9" s="173">
        <f>IFERROR(__xludf.DUMMYFUNCTION("""COMPUTED_VALUE"""),8887.75)</f>
        <v>8887.75</v>
      </c>
      <c r="AW9" s="17">
        <f>IFERROR(__xludf.DUMMYFUNCTION("""COMPUTED_VALUE"""),2113.32)</f>
        <v>2113.32</v>
      </c>
      <c r="AX9" s="178"/>
      <c r="AY9" s="17">
        <f>IFERROR(__xludf.DUMMYFUNCTION("""COMPUTED_VALUE"""),0.0)</f>
        <v>0</v>
      </c>
      <c r="AZ9" s="176"/>
      <c r="BA9" s="17"/>
      <c r="BB9" s="178"/>
      <c r="BC9" s="187">
        <f>IFERROR(__xludf.DUMMYFUNCTION("""COMPUTED_VALUE"""),0.0)</f>
        <v>0</v>
      </c>
      <c r="BD9" s="17"/>
      <c r="BE9" s="17"/>
      <c r="BF9" s="17"/>
      <c r="BG9" s="17"/>
      <c r="BH9" s="17"/>
      <c r="BI9" s="17"/>
      <c r="BJ9" s="17"/>
      <c r="BK9" s="17"/>
      <c r="BL9" s="151"/>
      <c r="BM9" s="180" t="str">
        <f>IFERROR(__xludf.DUMMYFUNCTION("""COMPUTED_VALUE"""),"Approval")</f>
        <v>Approval</v>
      </c>
      <c r="BN9" s="133">
        <f>IFERROR(__xludf.DUMMYFUNCTION("""COMPUTED_VALUE"""),46146.94331949074)</f>
        <v>46146.94332</v>
      </c>
      <c r="BO9" s="133"/>
      <c r="BP9" s="133"/>
      <c r="BQ9" s="133"/>
      <c r="BR9" s="133"/>
      <c r="BS9" s="25"/>
    </row>
    <row r="10" hidden="1">
      <c r="A10" s="179"/>
      <c r="B10" s="152" t="str">
        <f>IFERROR(__xludf.DUMMYFUNCTION("""COMPUTED_VALUE"""),"Twinings - Retail (TikTok)")</f>
        <v>Twinings - Retail (TikTok)</v>
      </c>
      <c r="C10" s="153" t="str">
        <f>IFERROR(__xludf.DUMMYFUNCTION("""COMPUTED_VALUE"""),"5029 AB Food &amp; Beverages (Thailand) Ltd.")</f>
        <v>5029 AB Food &amp; Beverages (Thailand) Ltd.</v>
      </c>
      <c r="D10" s="182" t="str">
        <f>IFERROR(__xludf.DUMMYFUNCTION("""COMPUTED_VALUE"""),"Invoice + Packgage")</f>
        <v>Invoice + Packgage</v>
      </c>
      <c r="E10" s="155" t="str">
        <f>IFERROR(__xludf.DUMMYFUNCTION("""COMPUTED_VALUE"""),"Win")</f>
        <v>Win</v>
      </c>
      <c r="F10" s="183" t="str">
        <f>IFERROR(__xludf.DUMMYFUNCTION("""COMPUTED_VALUE"""),"Pin")</f>
        <v>Pin</v>
      </c>
      <c r="G10" s="157" t="str">
        <f>IFERROR(__xludf.DUMMYFUNCTION("""COMPUTED_VALUE"""),"Nat")</f>
        <v>Nat</v>
      </c>
      <c r="H10" s="157">
        <f>IFERROR(__xludf.DUMMYFUNCTION("""COMPUTED_VALUE"""),0.15)</f>
        <v>0.15</v>
      </c>
      <c r="I10" s="157">
        <f>IFERROR(__xludf.DUMMYFUNCTION("""COMPUTED_VALUE"""),0.0)</f>
        <v>0</v>
      </c>
      <c r="J10" s="157">
        <f>IFERROR(__xludf.DUMMYFUNCTION("""COMPUTED_VALUE"""),0.0)</f>
        <v>0</v>
      </c>
      <c r="K10" s="158">
        <f>IFERROR(__xludf.DUMMYFUNCTION("""COMPUTED_VALUE"""),0.0)</f>
        <v>0</v>
      </c>
      <c r="L10" s="157">
        <f>IFERROR(__xludf.DUMMYFUNCTION("""COMPUTED_VALUE"""),0.0)</f>
        <v>0</v>
      </c>
      <c r="M10" s="3">
        <f>IFERROR(__xludf.DUMMYFUNCTION("""COMPUTED_VALUE"""),0.0)</f>
        <v>0</v>
      </c>
      <c r="N10" s="160"/>
      <c r="O10" s="184"/>
      <c r="P10" s="164">
        <f>IFERROR(__xludf.DUMMYFUNCTION("""COMPUTED_VALUE"""),14918.824499999999)</f>
        <v>14918.8245</v>
      </c>
      <c r="Q10" s="166">
        <f>IFERROR(__xludf.DUMMYFUNCTION("""COMPUTED_VALUE"""),1044.317715)</f>
        <v>1044.317715</v>
      </c>
      <c r="R10" s="164">
        <f>IFERROR(__xludf.DUMMYFUNCTION("""COMPUTED_VALUE"""),15963.142214999998)</f>
        <v>15963.14222</v>
      </c>
      <c r="S10" s="164">
        <f>IFERROR(__xludf.DUMMYFUNCTION("""COMPUTED_VALUE"""),0.0)</f>
        <v>0</v>
      </c>
      <c r="T10" s="164">
        <f>IFERROR(__xludf.DUMMYFUNCTION("""COMPUTED_VALUE"""),0.0)</f>
        <v>0</v>
      </c>
      <c r="U10" s="164">
        <f>IFERROR(__xludf.DUMMYFUNCTION("""COMPUTED_VALUE"""),0.0)</f>
        <v>0</v>
      </c>
      <c r="V10" s="164">
        <f>IFERROR(__xludf.DUMMYFUNCTION("""COMPUTED_VALUE"""),0.0)</f>
        <v>0</v>
      </c>
      <c r="W10" s="164">
        <f>IFERROR(__xludf.DUMMYFUNCTION("""COMPUTED_VALUE"""),12926.25)</f>
        <v>12926.25</v>
      </c>
      <c r="X10" s="165">
        <f>IFERROR(__xludf.DUMMYFUNCTION("""COMPUTED_VALUE"""),1992.5744999999997)</f>
        <v>1992.5745</v>
      </c>
      <c r="Y10" s="165">
        <f>IFERROR(__xludf.DUMMYFUNCTION("""COMPUTED_VALUE"""),0.0)</f>
        <v>0</v>
      </c>
      <c r="Z10" s="165">
        <f>IFERROR(__xludf.DUMMYFUNCTION("""COMPUTED_VALUE"""),0.0)</f>
        <v>0</v>
      </c>
      <c r="AA10" s="165">
        <f>IFERROR(__xludf.DUMMYFUNCTION("""COMPUTED_VALUE"""),4115.11)</f>
        <v>4115.11</v>
      </c>
      <c r="AB10" s="165">
        <f>IFERROR(__xludf.DUMMYFUNCTION("""COMPUTED_VALUE"""),0.0)</f>
        <v>0</v>
      </c>
      <c r="AC10" s="166">
        <f>IFERROR(__xludf.DUMMYFUNCTION("""COMPUTED_VALUE"""),0.0)</f>
        <v>0</v>
      </c>
      <c r="AD10" s="167">
        <f>IFERROR(__xludf.DUMMYFUNCTION("""COMPUTED_VALUE"""),13283.829999999998)</f>
        <v>13283.83</v>
      </c>
      <c r="AE10" s="17"/>
      <c r="AF10" s="168"/>
      <c r="AG10" s="167"/>
      <c r="AH10" s="168"/>
      <c r="AI10" s="167"/>
      <c r="AJ10" s="17"/>
      <c r="AK10" s="168"/>
      <c r="AL10" s="167"/>
      <c r="AM10" s="171"/>
      <c r="AN10" s="168">
        <f>IFERROR(__xludf.DUMMYFUNCTION("""COMPUTED_VALUE"""),4115.11)</f>
        <v>4115.11</v>
      </c>
      <c r="AO10" s="17"/>
      <c r="AP10" s="171"/>
      <c r="AQ10" s="168">
        <f>IFERROR(__xludf.DUMMYFUNCTION("""COMPUTED_VALUE"""),8811.14)</f>
        <v>8811.14</v>
      </c>
      <c r="AR10" s="17"/>
      <c r="AS10" s="17"/>
      <c r="AT10" s="17"/>
      <c r="AU10" s="17"/>
      <c r="AV10" s="17"/>
      <c r="AW10" s="17"/>
      <c r="AX10" s="17"/>
      <c r="AY10" s="17"/>
      <c r="AZ10" s="176"/>
      <c r="BA10" s="17"/>
      <c r="BB10" s="17"/>
      <c r="BC10" s="187"/>
      <c r="BD10" s="17"/>
      <c r="BE10" s="17"/>
      <c r="BF10" s="173"/>
      <c r="BG10" s="17">
        <f>IFERROR(__xludf.DUMMYFUNCTION("""COMPUTED_VALUE"""),4115.11)</f>
        <v>4115.11</v>
      </c>
      <c r="BH10" s="17"/>
      <c r="BI10" s="173"/>
      <c r="BJ10" s="17">
        <f>IFERROR(__xludf.DUMMYFUNCTION("""COMPUTED_VALUE"""),9168.72)</f>
        <v>9168.72</v>
      </c>
      <c r="BK10" s="17"/>
      <c r="BL10" s="151"/>
      <c r="BM10" s="180" t="str">
        <f>IFERROR(__xludf.DUMMYFUNCTION("""COMPUTED_VALUE"""),"Approval")</f>
        <v>Approval</v>
      </c>
      <c r="BN10" s="133">
        <f>IFERROR(__xludf.DUMMYFUNCTION("""COMPUTED_VALUE"""),46146.95229783565)</f>
        <v>46146.9523</v>
      </c>
      <c r="BO10" s="133"/>
      <c r="BP10" s="133"/>
      <c r="BQ10" s="133"/>
      <c r="BR10" s="133"/>
      <c r="BS10" s="25"/>
    </row>
    <row r="11" hidden="1">
      <c r="A11" s="151" t="str">
        <f>IFERROR(__xludf.DUMMYFUNCTION("""COMPUTED_VALUE"""),"April'26")</f>
        <v>April'26</v>
      </c>
      <c r="B11" s="188" t="str">
        <f>IFERROR(__xludf.DUMMYFUNCTION("""COMPUTED_VALUE"""),"Bayer - Retail")</f>
        <v>Bayer - Retail</v>
      </c>
      <c r="C11" s="153" t="str">
        <f>IFERROR(__xludf.DUMMYFUNCTION("""COMPUTED_VALUE"""),"5627 Bayer Thai Co., Ltd")</f>
        <v>5627 Bayer Thai Co., Ltd</v>
      </c>
      <c r="D11" s="182" t="str">
        <f>IFERROR(__xludf.DUMMYFUNCTION("""COMPUTED_VALUE"""),"Invoice + Packgage")</f>
        <v>Invoice + Packgage</v>
      </c>
      <c r="E11" s="189" t="str">
        <f>IFERROR(__xludf.DUMMYFUNCTION("""COMPUTED_VALUE"""),"Micky")</f>
        <v>Micky</v>
      </c>
      <c r="F11" s="156" t="str">
        <f>IFERROR(__xludf.DUMMYFUNCTION("""COMPUTED_VALUE"""),"Mhew")</f>
        <v>Mhew</v>
      </c>
      <c r="G11" s="157" t="str">
        <f>IFERROR(__xludf.DUMMYFUNCTION("""COMPUTED_VALUE"""),"Pompam")</f>
        <v>Pompam</v>
      </c>
      <c r="H11" s="157">
        <f>IFERROR(__xludf.DUMMYFUNCTION("""COMPUTED_VALUE"""),0.13)</f>
        <v>0.13</v>
      </c>
      <c r="I11" s="157">
        <f>IFERROR(__xludf.DUMMYFUNCTION("""COMPUTED_VALUE"""),0.0)</f>
        <v>0</v>
      </c>
      <c r="J11" s="157">
        <f>IFERROR(__xludf.DUMMYFUNCTION("""COMPUTED_VALUE"""),0.0)</f>
        <v>0</v>
      </c>
      <c r="K11" s="158">
        <f>IFERROR(__xludf.DUMMYFUNCTION("""COMPUTED_VALUE"""),0.0)</f>
        <v>0</v>
      </c>
      <c r="L11" s="159">
        <f>IFERROR(__xludf.DUMMYFUNCTION("""COMPUTED_VALUE"""),0.0)</f>
        <v>0</v>
      </c>
      <c r="M11" s="3">
        <f>IFERROR(__xludf.DUMMYFUNCTION("""COMPUTED_VALUE"""),25000.0)</f>
        <v>25000</v>
      </c>
      <c r="N11" s="160"/>
      <c r="O11" s="184"/>
      <c r="P11" s="164">
        <f>IFERROR(__xludf.DUMMYFUNCTION("""COMPUTED_VALUE"""),370358.0191)</f>
        <v>370358.0191</v>
      </c>
      <c r="Q11" s="166">
        <f>IFERROR(__xludf.DUMMYFUNCTION("""COMPUTED_VALUE"""),25925.061337)</f>
        <v>25925.06134</v>
      </c>
      <c r="R11" s="164">
        <f>IFERROR(__xludf.DUMMYFUNCTION("""COMPUTED_VALUE"""),396283.08043699997)</f>
        <v>396283.0804</v>
      </c>
      <c r="S11" s="164">
        <f>IFERROR(__xludf.DUMMYFUNCTION("""COMPUTED_VALUE"""),0.0)</f>
        <v>0</v>
      </c>
      <c r="T11" s="164">
        <f>IFERROR(__xludf.DUMMYFUNCTION("""COMPUTED_VALUE"""),0.0)</f>
        <v>0</v>
      </c>
      <c r="U11" s="164">
        <f>IFERROR(__xludf.DUMMYFUNCTION("""COMPUTED_VALUE"""),0.0)</f>
        <v>0</v>
      </c>
      <c r="V11" s="164">
        <f>IFERROR(__xludf.DUMMYFUNCTION("""COMPUTED_VALUE"""),238500.0)</f>
        <v>238500</v>
      </c>
      <c r="W11" s="164">
        <f>IFERROR(__xludf.DUMMYFUNCTION("""COMPUTED_VALUE"""),101917.97)</f>
        <v>101917.97</v>
      </c>
      <c r="X11" s="165">
        <f>IFERROR(__xludf.DUMMYFUNCTION("""COMPUTED_VALUE"""),29940.049099999993)</f>
        <v>29940.0491</v>
      </c>
      <c r="Y11" s="165">
        <f>IFERROR(__xludf.DUMMYFUNCTION("""COMPUTED_VALUE"""),145608.78999999998)</f>
        <v>145608.79</v>
      </c>
      <c r="Z11" s="165">
        <f>IFERROR(__xludf.DUMMYFUNCTION("""COMPUTED_VALUE"""),45494.869999999995)</f>
        <v>45494.87</v>
      </c>
      <c r="AA11" s="165">
        <f>IFERROR(__xludf.DUMMYFUNCTION("""COMPUTED_VALUE"""),22864.760000000002)</f>
        <v>22864.76</v>
      </c>
      <c r="AB11" s="165">
        <f>IFERROR(__xludf.DUMMYFUNCTION("""COMPUTED_VALUE"""),0.0)</f>
        <v>0</v>
      </c>
      <c r="AC11" s="166">
        <f>IFERROR(__xludf.DUMMYFUNCTION("""COMPUTED_VALUE"""),0.0)</f>
        <v>0</v>
      </c>
      <c r="AD11" s="167">
        <f>IFERROR(__xludf.DUMMYFUNCTION("""COMPUTED_VALUE"""),230308.06999999995)</f>
        <v>230308.07</v>
      </c>
      <c r="AE11" s="17"/>
      <c r="AF11" s="168"/>
      <c r="AG11" s="167"/>
      <c r="AH11" s="17"/>
      <c r="AI11" s="169"/>
      <c r="AJ11" s="17">
        <f>IFERROR(__xludf.DUMMYFUNCTION("""COMPUTED_VALUE"""),47500.0)</f>
        <v>47500</v>
      </c>
      <c r="AK11" s="170"/>
      <c r="AL11" s="167">
        <f>IFERROR(__xludf.DUMMYFUNCTION("""COMPUTED_VALUE"""),191000.0)</f>
        <v>191000</v>
      </c>
      <c r="AM11" s="171"/>
      <c r="AN11" s="168">
        <f>IFERROR(__xludf.DUMMYFUNCTION("""COMPUTED_VALUE"""),22349.11)</f>
        <v>22349.11</v>
      </c>
      <c r="AO11" s="171"/>
      <c r="AP11" s="171">
        <f>IFERROR(__xludf.DUMMYFUNCTION("""COMPUTED_VALUE"""),3021.67)</f>
        <v>3021.67</v>
      </c>
      <c r="AQ11" s="186">
        <f>IFERROR(__xludf.DUMMYFUNCTION("""COMPUTED_VALUE"""),12386.13)</f>
        <v>12386.13</v>
      </c>
      <c r="AR11" s="17">
        <f>IFERROR(__xludf.DUMMYFUNCTION("""COMPUTED_VALUE"""),64161.06)</f>
        <v>64161.06</v>
      </c>
      <c r="AS11" s="173"/>
      <c r="AT11" s="17">
        <f>IFERROR(__xludf.DUMMYFUNCTION("""COMPUTED_VALUE"""),81447.73)</f>
        <v>81447.73</v>
      </c>
      <c r="AU11" s="173"/>
      <c r="AV11" s="173">
        <f>IFERROR(__xludf.DUMMYFUNCTION("""COMPUTED_VALUE"""),64161.06)</f>
        <v>64161.06</v>
      </c>
      <c r="AW11" s="173">
        <f>IFERROR(__xludf.DUMMYFUNCTION("""COMPUTED_VALUE"""),25008.620000000003)</f>
        <v>25008.62</v>
      </c>
      <c r="AX11" s="173">
        <f>IFERROR(__xludf.DUMMYFUNCTION("""COMPUTED_VALUE"""),16926.94)</f>
        <v>16926.94</v>
      </c>
      <c r="AY11" s="17">
        <f>IFERROR(__xludf.DUMMYFUNCTION("""COMPUTED_VALUE"""),3559.31)</f>
        <v>3559.31</v>
      </c>
      <c r="AZ11" s="176"/>
      <c r="BA11" s="17"/>
      <c r="BB11" s="17"/>
      <c r="BC11" s="187"/>
      <c r="BD11" s="17"/>
      <c r="BE11" s="17"/>
      <c r="BF11" s="173"/>
      <c r="BG11" s="17">
        <f>IFERROR(__xludf.DUMMYFUNCTION("""COMPUTED_VALUE"""),22349.11)</f>
        <v>22349.11</v>
      </c>
      <c r="BH11" s="173"/>
      <c r="BI11" s="173">
        <f>IFERROR(__xludf.DUMMYFUNCTION("""COMPUTED_VALUE"""),515.65)</f>
        <v>515.65</v>
      </c>
      <c r="BJ11" s="17">
        <f>IFERROR(__xludf.DUMMYFUNCTION("""COMPUTED_VALUE"""),16339.65)</f>
        <v>16339.65</v>
      </c>
      <c r="BK11" s="17"/>
      <c r="BL11" s="151"/>
      <c r="BM11" s="180" t="str">
        <f>IFERROR(__xludf.DUMMYFUNCTION("""COMPUTED_VALUE"""),"Approval")</f>
        <v>Approval</v>
      </c>
      <c r="BN11" s="133">
        <f>IFERROR(__xludf.DUMMYFUNCTION("""COMPUTED_VALUE"""),46147.63574802083)</f>
        <v>46147.63575</v>
      </c>
      <c r="BO11" s="133"/>
      <c r="BP11" s="133"/>
      <c r="BQ11" s="133"/>
      <c r="BR11" s="133"/>
      <c r="BS11" s="25"/>
    </row>
    <row r="12" hidden="1">
      <c r="A12" s="151" t="str">
        <f>IFERROR(__xludf.DUMMYFUNCTION("""COMPUTED_VALUE"""),"April'26")</f>
        <v>April'26</v>
      </c>
      <c r="B12" s="188" t="str">
        <f>IFERROR(__xludf.DUMMYFUNCTION("""COMPUTED_VALUE"""),"NIVEA - Retail (MKT)")</f>
        <v>NIVEA - Retail (MKT)</v>
      </c>
      <c r="C12" s="190" t="str">
        <f>IFERROR(__xludf.DUMMYFUNCTION("""COMPUTED_VALUE"""),"No need to send Invoice // Cost with Store team")</f>
        <v>No need to send Invoice // Cost with Store team</v>
      </c>
      <c r="D12" s="191" t="str">
        <f>IFERROR(__xludf.DUMMYFUNCTION("""COMPUTED_VALUE"""),"JBP")</f>
        <v>JBP</v>
      </c>
      <c r="E12" s="189" t="str">
        <f>IFERROR(__xludf.DUMMYFUNCTION("""COMPUTED_VALUE"""),"Nan")</f>
        <v>Nan</v>
      </c>
      <c r="F12" s="156" t="str">
        <f>IFERROR(__xludf.DUMMYFUNCTION("""COMPUTED_VALUE"""),"UnUn")</f>
        <v>UnUn</v>
      </c>
      <c r="G12" s="157" t="str">
        <f>IFERROR(__xludf.DUMMYFUNCTION("""COMPUTED_VALUE"""),"JJ")</f>
        <v>JJ</v>
      </c>
      <c r="H12" s="157">
        <f>IFERROR(__xludf.DUMMYFUNCTION("""COMPUTED_VALUE"""),0.0)</f>
        <v>0</v>
      </c>
      <c r="I12" s="157">
        <f>IFERROR(__xludf.DUMMYFUNCTION("""COMPUTED_VALUE"""),0.0)</f>
        <v>0</v>
      </c>
      <c r="J12" s="157">
        <f>IFERROR(__xludf.DUMMYFUNCTION("""COMPUTED_VALUE"""),0.0)</f>
        <v>0</v>
      </c>
      <c r="K12" s="158">
        <f>IFERROR(__xludf.DUMMYFUNCTION("""COMPUTED_VALUE"""),0.0)</f>
        <v>0</v>
      </c>
      <c r="L12" s="159">
        <f>IFERROR(__xludf.DUMMYFUNCTION("""COMPUTED_VALUE"""),0.0)</f>
        <v>0</v>
      </c>
      <c r="M12" s="157">
        <f>IFERROR(__xludf.DUMMYFUNCTION("""COMPUTED_VALUE"""),275000.0)</f>
        <v>275000</v>
      </c>
      <c r="N12" s="192">
        <f>IFERROR(__xludf.DUMMYFUNCTION("""COMPUTED_VALUE"""),0.02)</f>
        <v>0.02</v>
      </c>
      <c r="O12" s="185"/>
      <c r="P12" s="164">
        <f>IFERROR(__xludf.DUMMYFUNCTION("""COMPUTED_VALUE"""),1665773.8201869158)</f>
        <v>1665773.82</v>
      </c>
      <c r="Q12" s="186">
        <f>IFERROR(__xludf.DUMMYFUNCTION("""COMPUTED_VALUE"""),116604.16741308411)</f>
        <v>116604.1674</v>
      </c>
      <c r="R12" s="171">
        <f>IFERROR(__xludf.DUMMYFUNCTION("""COMPUTED_VALUE"""),1782377.9875999999)</f>
        <v>1782377.988</v>
      </c>
      <c r="S12" s="171">
        <f>IFERROR(__xludf.DUMMYFUNCTION("""COMPUTED_VALUE"""),33315.476403738314)</f>
        <v>33315.4764</v>
      </c>
      <c r="T12" s="171">
        <f>IFERROR(__xludf.DUMMYFUNCTION("""COMPUTED_VALUE"""),0.0)</f>
        <v>0</v>
      </c>
      <c r="U12" s="171">
        <f>IFERROR(__xludf.DUMMYFUNCTION("""COMPUTED_VALUE"""),0.0)</f>
        <v>0</v>
      </c>
      <c r="V12" s="171">
        <f>IFERROR(__xludf.DUMMYFUNCTION("""COMPUTED_VALUE"""),0.0)</f>
        <v>0</v>
      </c>
      <c r="W12" s="171">
        <f>IFERROR(__xludf.DUMMYFUNCTION("""COMPUTED_VALUE"""),1665773.8201869158)</f>
        <v>1665773.82</v>
      </c>
      <c r="X12" s="165">
        <f>IFERROR(__xludf.DUMMYFUNCTION("""COMPUTED_VALUE"""),275000.0)</f>
        <v>275000</v>
      </c>
      <c r="Y12" s="165">
        <f>IFERROR(__xludf.DUMMYFUNCTION("""COMPUTED_VALUE"""),1393934.06)</f>
        <v>1393934.06</v>
      </c>
      <c r="Z12" s="165">
        <f>IFERROR(__xludf.DUMMYFUNCTION("""COMPUTED_VALUE"""),417987.35)</f>
        <v>417987.35</v>
      </c>
      <c r="AA12" s="165">
        <f>IFERROR(__xludf.DUMMYFUNCTION("""COMPUTED_VALUE"""),1481138.8699999999)</f>
        <v>1481138.87</v>
      </c>
      <c r="AB12" s="165">
        <f>IFERROR(__xludf.DUMMYFUNCTION("""COMPUTED_VALUE"""),0.0)</f>
        <v>0</v>
      </c>
      <c r="AC12" s="186">
        <f>IFERROR(__xludf.DUMMYFUNCTION("""COMPUTED_VALUE"""),0.0)</f>
        <v>0</v>
      </c>
      <c r="AD12" s="167">
        <f>IFERROR(__xludf.DUMMYFUNCTION("""COMPUTED_VALUE"""),5071797.93)</f>
        <v>5071797.93</v>
      </c>
      <c r="AE12" s="17"/>
      <c r="AF12" s="168"/>
      <c r="AG12" s="160"/>
      <c r="AH12" s="193"/>
      <c r="AI12" s="167"/>
      <c r="AJ12" s="133"/>
      <c r="AK12" s="172"/>
      <c r="AL12" s="167"/>
      <c r="AM12" s="171"/>
      <c r="AN12" s="168">
        <f>IFERROR(__xludf.DUMMYFUNCTION("""COMPUTED_VALUE"""),1476986.68)</f>
        <v>1476986.68</v>
      </c>
      <c r="AO12" s="171"/>
      <c r="AP12" s="17">
        <f>IFERROR(__xludf.DUMMYFUNCTION("""COMPUTED_VALUE"""),188787.14018691587)</f>
        <v>188787.1402</v>
      </c>
      <c r="AQ12" s="172"/>
      <c r="AR12" s="173"/>
      <c r="AS12" s="173">
        <f>IFERROR(__xludf.DUMMYFUNCTION("""COMPUTED_VALUE"""),100004.58)</f>
        <v>100004.58</v>
      </c>
      <c r="AT12" s="173">
        <f>IFERROR(__xludf.DUMMYFUNCTION("""COMPUTED_VALUE"""),571693.85)</f>
        <v>571693.85</v>
      </c>
      <c r="AU12" s="173">
        <f>IFERROR(__xludf.DUMMYFUNCTION("""COMPUTED_VALUE"""),5605.29)</f>
        <v>5605.29</v>
      </c>
      <c r="AV12" s="173">
        <f>IFERROR(__xludf.DUMMYFUNCTION("""COMPUTED_VALUE"""),716630.34)</f>
        <v>716630.34</v>
      </c>
      <c r="AW12" s="173">
        <f>IFERROR(__xludf.DUMMYFUNCTION("""COMPUTED_VALUE"""),66062.24)</f>
        <v>66062.24</v>
      </c>
      <c r="AX12" s="173">
        <f>IFERROR(__xludf.DUMMYFUNCTION("""COMPUTED_VALUE"""),220680.51)</f>
        <v>220680.51</v>
      </c>
      <c r="AY12" s="17">
        <f>IFERROR(__xludf.DUMMYFUNCTION("""COMPUTED_VALUE"""),131244.6)</f>
        <v>131244.6</v>
      </c>
      <c r="AZ12" s="176"/>
      <c r="BA12" s="17"/>
      <c r="BB12" s="17"/>
      <c r="BC12" s="187"/>
      <c r="BD12" s="17"/>
      <c r="BE12" s="17"/>
      <c r="BF12" s="173"/>
      <c r="BG12" s="17">
        <f>IFERROR(__xludf.DUMMYFUNCTION("""COMPUTED_VALUE"""),1476986.68)</f>
        <v>1476986.68</v>
      </c>
      <c r="BH12" s="173"/>
      <c r="BI12" s="173">
        <f>IFERROR(__xludf.DUMMYFUNCTION("""COMPUTED_VALUE"""),4152.19)</f>
        <v>4152.19</v>
      </c>
      <c r="BJ12" s="17">
        <f>IFERROR(__xludf.DUMMYFUNCTION("""COMPUTED_VALUE"""),1778737.65)</f>
        <v>1778737.65</v>
      </c>
      <c r="BK12" s="17"/>
      <c r="BL12" s="160"/>
      <c r="BM12" s="181"/>
      <c r="BN12" s="133" t="str">
        <f>IFERROR(__xludf.DUMMYFUNCTION("""COMPUTED_VALUE"""),"")</f>
        <v/>
      </c>
      <c r="BO12" s="133"/>
      <c r="BP12" s="133"/>
      <c r="BQ12" s="133"/>
      <c r="BR12" s="133"/>
      <c r="BS12" s="25"/>
    </row>
    <row r="13" hidden="1">
      <c r="A13" s="179"/>
      <c r="B13" s="188" t="str">
        <f>IFERROR(__xludf.DUMMYFUNCTION("""COMPUTED_VALUE"""),"NIVEA - Retail (Nivea club)")</f>
        <v>NIVEA - Retail (Nivea club)</v>
      </c>
      <c r="C13" s="190" t="str">
        <f>IFERROR(__xludf.DUMMYFUNCTION("""COMPUTED_VALUE"""),"No need to send Invoice // Cost with Store team")</f>
        <v>No need to send Invoice // Cost with Store team</v>
      </c>
      <c r="D13" s="191" t="str">
        <f>IFERROR(__xludf.DUMMYFUNCTION("""COMPUTED_VALUE"""),"JBP")</f>
        <v>JBP</v>
      </c>
      <c r="E13" s="189" t="str">
        <f>IFERROR(__xludf.DUMMYFUNCTION("""COMPUTED_VALUE"""),"Nan")</f>
        <v>Nan</v>
      </c>
      <c r="F13" s="156" t="str">
        <f>IFERROR(__xludf.DUMMYFUNCTION("""COMPUTED_VALUE"""),"UnUn")</f>
        <v>UnUn</v>
      </c>
      <c r="G13" s="157" t="str">
        <f>IFERROR(__xludf.DUMMYFUNCTION("""COMPUTED_VALUE"""),"JJ")</f>
        <v>JJ</v>
      </c>
      <c r="H13" s="157">
        <f>IFERROR(__xludf.DUMMYFUNCTION("""COMPUTED_VALUE"""),0.0)</f>
        <v>0</v>
      </c>
      <c r="I13" s="157">
        <f>IFERROR(__xludf.DUMMYFUNCTION("""COMPUTED_VALUE"""),0.0)</f>
        <v>0</v>
      </c>
      <c r="J13" s="157">
        <f>IFERROR(__xludf.DUMMYFUNCTION("""COMPUTED_VALUE"""),0.0)</f>
        <v>0</v>
      </c>
      <c r="K13" s="158">
        <f>IFERROR(__xludf.DUMMYFUNCTION("""COMPUTED_VALUE"""),0.0)</f>
        <v>0</v>
      </c>
      <c r="M13" s="157"/>
      <c r="N13" s="192">
        <f>IFERROR(__xludf.DUMMYFUNCTION("""COMPUTED_VALUE"""),0.02)</f>
        <v>0.02</v>
      </c>
      <c r="O13" s="185"/>
      <c r="P13" s="164">
        <f>IFERROR(__xludf.DUMMYFUNCTION("""COMPUTED_VALUE"""),74987.98)</f>
        <v>74987.98</v>
      </c>
      <c r="Q13" s="186">
        <f>IFERROR(__xludf.DUMMYFUNCTION("""COMPUTED_VALUE"""),5249.158600000001)</f>
        <v>5249.1586</v>
      </c>
      <c r="R13" s="171">
        <f>IFERROR(__xludf.DUMMYFUNCTION("""COMPUTED_VALUE"""),80237.13859999999)</f>
        <v>80237.1386</v>
      </c>
      <c r="S13" s="171">
        <f>IFERROR(__xludf.DUMMYFUNCTION("""COMPUTED_VALUE"""),1499.7595999999999)</f>
        <v>1499.7596</v>
      </c>
      <c r="T13" s="171">
        <f>IFERROR(__xludf.DUMMYFUNCTION("""COMPUTED_VALUE"""),0.0)</f>
        <v>0</v>
      </c>
      <c r="U13" s="171">
        <f>IFERROR(__xludf.DUMMYFUNCTION("""COMPUTED_VALUE"""),0.0)</f>
        <v>0</v>
      </c>
      <c r="V13" s="171">
        <f>IFERROR(__xludf.DUMMYFUNCTION("""COMPUTED_VALUE"""),0.0)</f>
        <v>0</v>
      </c>
      <c r="X13" s="165"/>
      <c r="Y13" s="165">
        <f>IFERROR(__xludf.DUMMYFUNCTION("""COMPUTED_VALUE"""),0.0)</f>
        <v>0</v>
      </c>
      <c r="Z13" s="165">
        <f>IFERROR(__xludf.DUMMYFUNCTION("""COMPUTED_VALUE"""),0.0)</f>
        <v>0</v>
      </c>
      <c r="AA13" s="165">
        <f>IFERROR(__xludf.DUMMYFUNCTION("""COMPUTED_VALUE"""),74987.98)</f>
        <v>74987.98</v>
      </c>
      <c r="AB13" s="165">
        <f>IFERROR(__xludf.DUMMYFUNCTION("""COMPUTED_VALUE"""),0.0)</f>
        <v>0</v>
      </c>
      <c r="AC13" s="186">
        <f>IFERROR(__xludf.DUMMYFUNCTION("""COMPUTED_VALUE"""),0.0)</f>
        <v>0</v>
      </c>
      <c r="AD13" s="167">
        <f>IFERROR(__xludf.DUMMYFUNCTION("""COMPUTED_VALUE"""),74987.98)</f>
        <v>74987.98</v>
      </c>
      <c r="AE13" s="17"/>
      <c r="AF13" s="168"/>
      <c r="AG13" s="167"/>
      <c r="AH13" s="168"/>
      <c r="AI13" s="167"/>
      <c r="AJ13" s="187"/>
      <c r="AK13" s="194"/>
      <c r="AL13" s="167"/>
      <c r="AM13" s="171"/>
      <c r="AN13" s="168">
        <f>IFERROR(__xludf.DUMMYFUNCTION("""COMPUTED_VALUE"""),74987.98)</f>
        <v>74987.98</v>
      </c>
      <c r="AO13" s="17"/>
      <c r="AP13" s="17"/>
      <c r="AQ13" s="168"/>
      <c r="AR13" s="17"/>
      <c r="AS13" s="17"/>
      <c r="AT13" s="17"/>
      <c r="AU13" s="17"/>
      <c r="AV13" s="17"/>
      <c r="AW13" s="17"/>
      <c r="AX13" s="17"/>
      <c r="AY13" s="17"/>
      <c r="AZ13" s="176"/>
      <c r="BA13" s="17"/>
      <c r="BB13" s="17"/>
      <c r="BC13" s="187"/>
      <c r="BD13" s="17"/>
      <c r="BE13" s="17"/>
      <c r="BF13" s="173"/>
      <c r="BG13" s="17">
        <f>IFERROR(__xludf.DUMMYFUNCTION("""COMPUTED_VALUE"""),74987.98)</f>
        <v>74987.98</v>
      </c>
      <c r="BH13" s="17"/>
      <c r="BI13" s="17"/>
      <c r="BJ13" s="17"/>
      <c r="BK13" s="17"/>
      <c r="BL13" s="195"/>
      <c r="BM13" s="181"/>
      <c r="BN13" s="181" t="str">
        <f>IFERROR(__xludf.DUMMYFUNCTION("""COMPUTED_VALUE"""),"")</f>
        <v/>
      </c>
      <c r="BO13" s="2"/>
      <c r="BP13" s="133"/>
      <c r="BQ13" s="133"/>
      <c r="BR13" s="133"/>
      <c r="BS13" s="25"/>
    </row>
    <row r="14" hidden="1">
      <c r="A14" s="151" t="str">
        <f>IFERROR(__xludf.DUMMYFUNCTION("""COMPUTED_VALUE"""),"April'26")</f>
        <v>April'26</v>
      </c>
      <c r="B14" s="188" t="str">
        <f>IFERROR(__xludf.DUMMYFUNCTION("""COMPUTED_VALUE"""),"Tefal - Retail (LZD &amp; SHP)")</f>
        <v>Tefal - Retail (LZD &amp; SHP)</v>
      </c>
      <c r="C14" s="190" t="str">
        <f>IFERROR(__xludf.DUMMYFUNCTION("""COMPUTED_VALUE"""),"5776 Groupe SEB (Thailand) Co., Ltd.")</f>
        <v>5776 Groupe SEB (Thailand) Co., Ltd.</v>
      </c>
      <c r="D14" s="191" t="str">
        <f>IFERROR(__xludf.DUMMYFUNCTION("""COMPUTED_VALUE"""),"JBP")</f>
        <v>JBP</v>
      </c>
      <c r="E14" s="189" t="str">
        <f>IFERROR(__xludf.DUMMYFUNCTION("""COMPUTED_VALUE"""),"Toa")</f>
        <v>Toa</v>
      </c>
      <c r="F14" s="156" t="str">
        <f>IFERROR(__xludf.DUMMYFUNCTION("""COMPUTED_VALUE"""),"Salmon")</f>
        <v>Salmon</v>
      </c>
      <c r="G14" s="157" t="str">
        <f>IFERROR(__xludf.DUMMYFUNCTION("""COMPUTED_VALUE"""),"Nat")</f>
        <v>Nat</v>
      </c>
      <c r="H14" s="157">
        <f>IFERROR(__xludf.DUMMYFUNCTION("""COMPUTED_VALUE"""),0.12)</f>
        <v>0.12</v>
      </c>
      <c r="I14" s="157">
        <f>IFERROR(__xludf.DUMMYFUNCTION("""COMPUTED_VALUE"""),0.0)</f>
        <v>0</v>
      </c>
      <c r="J14" s="157">
        <f>IFERROR(__xludf.DUMMYFUNCTION("""COMPUTED_VALUE"""),0.0)</f>
        <v>0</v>
      </c>
      <c r="K14" s="158">
        <f>IFERROR(__xludf.DUMMYFUNCTION("""COMPUTED_VALUE"""),0.0)</f>
        <v>0</v>
      </c>
      <c r="L14" s="157">
        <f>IFERROR(__xludf.DUMMYFUNCTION("""COMPUTED_VALUE"""),0.0)</f>
        <v>0</v>
      </c>
      <c r="M14" s="157">
        <f>IFERROR(__xludf.DUMMYFUNCTION("""COMPUTED_VALUE"""),0.0)</f>
        <v>0</v>
      </c>
      <c r="N14" s="192">
        <f>IFERROR(__xludf.DUMMYFUNCTION("""COMPUTED_VALUE"""),0.02)</f>
        <v>0.02</v>
      </c>
      <c r="O14" s="185"/>
      <c r="P14" s="171">
        <f>IFERROR(__xludf.DUMMYFUNCTION("""COMPUTED_VALUE"""),422251.49944672897)</f>
        <v>422251.4994</v>
      </c>
      <c r="Q14" s="186">
        <f>IFERROR(__xludf.DUMMYFUNCTION("""COMPUTED_VALUE"""),29557.60496127103)</f>
        <v>29557.60496</v>
      </c>
      <c r="R14" s="171">
        <f>IFERROR(__xludf.DUMMYFUNCTION("""COMPUTED_VALUE"""),451809.104408)</f>
        <v>451809.1044</v>
      </c>
      <c r="S14" s="171">
        <f>IFERROR(__xludf.DUMMYFUNCTION("""COMPUTED_VALUE"""),0.0)</f>
        <v>0</v>
      </c>
      <c r="T14" s="171">
        <f>IFERROR(__xludf.DUMMYFUNCTION("""COMPUTED_VALUE"""),0.0)</f>
        <v>0</v>
      </c>
      <c r="U14" s="171">
        <f>IFERROR(__xludf.DUMMYFUNCTION("""COMPUTED_VALUE"""),0.0)</f>
        <v>0</v>
      </c>
      <c r="V14" s="171">
        <f>IFERROR(__xludf.DUMMYFUNCTION("""COMPUTED_VALUE"""),0.0)</f>
        <v>0</v>
      </c>
      <c r="W14" s="171">
        <f>IFERROR(__xludf.DUMMYFUNCTION("""COMPUTED_VALUE"""),174501.88504672897)</f>
        <v>174501.885</v>
      </c>
      <c r="X14" s="165">
        <f>IFERROR(__xludf.DUMMYFUNCTION("""COMPUTED_VALUE"""),247749.61439999996)</f>
        <v>247749.6144</v>
      </c>
      <c r="Y14" s="165">
        <f>IFERROR(__xludf.DUMMYFUNCTION("""COMPUTED_VALUE"""),1598449.24)</f>
        <v>1598449.24</v>
      </c>
      <c r="Z14" s="165">
        <f>IFERROR(__xludf.DUMMYFUNCTION("""COMPUTED_VALUE"""),332503.63)</f>
        <v>332503.63</v>
      </c>
      <c r="AA14" s="165">
        <f>IFERROR(__xludf.DUMMYFUNCTION("""COMPUTED_VALUE"""),20096.15)</f>
        <v>20096.15</v>
      </c>
      <c r="AB14" s="165">
        <f>IFERROR(__xludf.DUMMYFUNCTION("""COMPUTED_VALUE"""),113531.1)</f>
        <v>113531.1</v>
      </c>
      <c r="AC14" s="186">
        <f>IFERROR(__xludf.DUMMYFUNCTION("""COMPUTED_VALUE"""),0.0)</f>
        <v>0</v>
      </c>
      <c r="AD14" s="167">
        <f>IFERROR(__xludf.DUMMYFUNCTION("""COMPUTED_VALUE"""),2064580.1199999999)</f>
        <v>2064580.12</v>
      </c>
      <c r="AE14" s="17"/>
      <c r="AF14" s="168"/>
      <c r="AG14" s="167"/>
      <c r="AH14" s="168"/>
      <c r="AI14" s="196"/>
      <c r="AJ14" s="4"/>
      <c r="AK14" s="197"/>
      <c r="AL14" s="185"/>
      <c r="AM14" s="17">
        <f>IFERROR(__xludf.DUMMYFUNCTION("""COMPUTED_VALUE"""),113531.1)</f>
        <v>113531.1</v>
      </c>
      <c r="AN14" s="168"/>
      <c r="AO14" s="171"/>
      <c r="AP14" s="17">
        <f>IFERROR(__xludf.DUMMYFUNCTION("""COMPUTED_VALUE"""),60970.78504672897)</f>
        <v>60970.78505</v>
      </c>
      <c r="AQ14" s="198"/>
      <c r="AR14" s="173"/>
      <c r="AS14" s="173">
        <f>IFERROR(__xludf.DUMMYFUNCTION("""COMPUTED_VALUE"""),53059.58)</f>
        <v>53059.58</v>
      </c>
      <c r="AT14" s="173">
        <f>IFERROR(__xludf.DUMMYFUNCTION("""COMPUTED_VALUE"""),1135114.21)</f>
        <v>1135114.21</v>
      </c>
      <c r="AU14" s="173">
        <f>IFERROR(__xludf.DUMMYFUNCTION("""COMPUTED_VALUE"""),14997.77)</f>
        <v>14997.77</v>
      </c>
      <c r="AV14" s="173">
        <f>IFERROR(__xludf.DUMMYFUNCTION("""COMPUTED_VALUE"""),395277.68)</f>
        <v>395277.68</v>
      </c>
      <c r="AW14" s="173">
        <f>IFERROR(__xludf.DUMMYFUNCTION("""COMPUTED_VALUE"""),262729.53)</f>
        <v>262729.53</v>
      </c>
      <c r="AX14" s="173">
        <f>IFERROR(__xludf.DUMMYFUNCTION("""COMPUTED_VALUE"""),20856.63)</f>
        <v>20856.63</v>
      </c>
      <c r="AY14" s="17">
        <f>IFERROR(__xludf.DUMMYFUNCTION("""COMPUTED_VALUE"""),48917.47)</f>
        <v>48917.47</v>
      </c>
      <c r="AZ14" s="176"/>
      <c r="BA14" s="199"/>
      <c r="BB14" s="173">
        <f>IFERROR(__xludf.DUMMYFUNCTION("""COMPUTED_VALUE"""),0.0)</f>
        <v>0</v>
      </c>
      <c r="BC14" s="187">
        <f>IFERROR(__xludf.DUMMYFUNCTION("""COMPUTED_VALUE"""),113531.1)</f>
        <v>113531.1</v>
      </c>
      <c r="BD14" s="17"/>
      <c r="BE14" s="17"/>
      <c r="BF14" s="17"/>
      <c r="BG14" s="173"/>
      <c r="BH14" s="17">
        <f>IFERROR(__xludf.DUMMYFUNCTION("""COMPUTED_VALUE"""),20096.15)</f>
        <v>20096.15</v>
      </c>
      <c r="BI14" s="17"/>
      <c r="BJ14" s="17"/>
      <c r="BK14" s="17"/>
      <c r="BL14" s="179"/>
      <c r="BM14" s="180" t="str">
        <f>IFERROR(__xludf.DUMMYFUNCTION("""COMPUTED_VALUE"""),"Approval")</f>
        <v>Approval</v>
      </c>
      <c r="BN14" s="181">
        <f>IFERROR(__xludf.DUMMYFUNCTION("""COMPUTED_VALUE"""),46148.39055240741)</f>
        <v>46148.39055</v>
      </c>
      <c r="BO14" s="2"/>
      <c r="BP14" s="133"/>
      <c r="BQ14" s="133"/>
      <c r="BR14" s="133"/>
      <c r="BS14" s="25"/>
    </row>
    <row r="15" hidden="1">
      <c r="A15" s="179"/>
      <c r="B15" s="188" t="str">
        <f>IFERROR(__xludf.DUMMYFUNCTION("""COMPUTED_VALUE"""),"Tefal - Retail (TikTok)")</f>
        <v>Tefal - Retail (TikTok)</v>
      </c>
      <c r="C15" s="190" t="str">
        <f>IFERROR(__xludf.DUMMYFUNCTION("""COMPUTED_VALUE"""),"5776 Groupe SEB (Thailand) Co., Ltd.")</f>
        <v>5776 Groupe SEB (Thailand) Co., Ltd.</v>
      </c>
      <c r="D15" s="191" t="str">
        <f>IFERROR(__xludf.DUMMYFUNCTION("""COMPUTED_VALUE"""),"JBP")</f>
        <v>JBP</v>
      </c>
      <c r="E15" s="189" t="str">
        <f>IFERROR(__xludf.DUMMYFUNCTION("""COMPUTED_VALUE"""),"Toa")</f>
        <v>Toa</v>
      </c>
      <c r="F15" s="156" t="str">
        <f>IFERROR(__xludf.DUMMYFUNCTION("""COMPUTED_VALUE"""),"Salmon")</f>
        <v>Salmon</v>
      </c>
      <c r="G15" s="157" t="str">
        <f>IFERROR(__xludf.DUMMYFUNCTION("""COMPUTED_VALUE"""),"Nat")</f>
        <v>Nat</v>
      </c>
      <c r="H15" s="157">
        <f>IFERROR(__xludf.DUMMYFUNCTION("""COMPUTED_VALUE"""),0.12)</f>
        <v>0.12</v>
      </c>
      <c r="I15" s="157">
        <f>IFERROR(__xludf.DUMMYFUNCTION("""COMPUTED_VALUE"""),0.0)</f>
        <v>0</v>
      </c>
      <c r="J15" s="157">
        <f>IFERROR(__xludf.DUMMYFUNCTION("""COMPUTED_VALUE"""),0.0)</f>
        <v>0</v>
      </c>
      <c r="K15" s="158">
        <f>IFERROR(__xludf.DUMMYFUNCTION("""COMPUTED_VALUE"""),0.0)</f>
        <v>0</v>
      </c>
      <c r="L15" s="157">
        <f>IFERROR(__xludf.DUMMYFUNCTION("""COMPUTED_VALUE"""),0.0)</f>
        <v>0</v>
      </c>
      <c r="M15" s="157">
        <f>IFERROR(__xludf.DUMMYFUNCTION("""COMPUTED_VALUE"""),0.0)</f>
        <v>0</v>
      </c>
      <c r="N15" s="192">
        <f>IFERROR(__xludf.DUMMYFUNCTION("""COMPUTED_VALUE"""),0.02)</f>
        <v>0.02</v>
      </c>
      <c r="O15" s="185"/>
      <c r="P15" s="171">
        <f>IFERROR(__xludf.DUMMYFUNCTION("""COMPUTED_VALUE"""),588618.762)</f>
        <v>588618.762</v>
      </c>
      <c r="Q15" s="186">
        <f>IFERROR(__xludf.DUMMYFUNCTION("""COMPUTED_VALUE"""),41203.31334)</f>
        <v>41203.31334</v>
      </c>
      <c r="R15" s="171">
        <f>IFERROR(__xludf.DUMMYFUNCTION("""COMPUTED_VALUE"""),629822.07534)</f>
        <v>629822.0753</v>
      </c>
      <c r="S15" s="171">
        <f>IFERROR(__xludf.DUMMYFUNCTION("""COMPUTED_VALUE"""),0.0)</f>
        <v>0</v>
      </c>
      <c r="T15" s="171">
        <f>IFERROR(__xludf.DUMMYFUNCTION("""COMPUTED_VALUE"""),0.0)</f>
        <v>0</v>
      </c>
      <c r="U15" s="171">
        <f>IFERROR(__xludf.DUMMYFUNCTION("""COMPUTED_VALUE"""),0.0)</f>
        <v>0</v>
      </c>
      <c r="V15" s="171">
        <f>IFERROR(__xludf.DUMMYFUNCTION("""COMPUTED_VALUE"""),0.0)</f>
        <v>0</v>
      </c>
      <c r="W15" s="171">
        <f>IFERROR(__xludf.DUMMYFUNCTION("""COMPUTED_VALUE"""),533148.12)</f>
        <v>533148.12</v>
      </c>
      <c r="X15" s="165">
        <f>IFERROR(__xludf.DUMMYFUNCTION("""COMPUTED_VALUE"""),55470.64199999999)</f>
        <v>55470.642</v>
      </c>
      <c r="Y15" s="165">
        <f>IFERROR(__xludf.DUMMYFUNCTION("""COMPUTED_VALUE"""),0.0)</f>
        <v>0</v>
      </c>
      <c r="Z15" s="165">
        <f>IFERROR(__xludf.DUMMYFUNCTION("""COMPUTED_VALUE"""),0.0)</f>
        <v>0</v>
      </c>
      <c r="AA15" s="165">
        <f>IFERROR(__xludf.DUMMYFUNCTION("""COMPUTED_VALUE"""),462255.35)</f>
        <v>462255.35</v>
      </c>
      <c r="AB15" s="165">
        <f>IFERROR(__xludf.DUMMYFUNCTION("""COMPUTED_VALUE"""),0.0)</f>
        <v>0</v>
      </c>
      <c r="AC15" s="186">
        <f>IFERROR(__xludf.DUMMYFUNCTION("""COMPUTED_VALUE"""),0.0)</f>
        <v>0</v>
      </c>
      <c r="AD15" s="167">
        <f>IFERROR(__xludf.DUMMYFUNCTION("""COMPUTED_VALUE"""),462255.35)</f>
        <v>462255.35</v>
      </c>
      <c r="AE15" s="17"/>
      <c r="AF15" s="168"/>
      <c r="AG15" s="167"/>
      <c r="AH15" s="168"/>
      <c r="AI15" s="167"/>
      <c r="AJ15" s="17"/>
      <c r="AK15" s="168"/>
      <c r="AL15" s="14"/>
      <c r="AM15" s="171"/>
      <c r="AN15" s="168">
        <f>IFERROR(__xludf.DUMMYFUNCTION("""COMPUTED_VALUE"""),462255.35)</f>
        <v>462255.35</v>
      </c>
      <c r="AO15" s="17"/>
      <c r="AP15" s="171"/>
      <c r="AQ15" s="17">
        <f>IFERROR(__xludf.DUMMYFUNCTION("""COMPUTED_VALUE"""),70892.77)</f>
        <v>70892.77</v>
      </c>
      <c r="AR15" s="17"/>
      <c r="AS15" s="17"/>
      <c r="AT15" s="17"/>
      <c r="AU15" s="17"/>
      <c r="AV15" s="17"/>
      <c r="AW15" s="17"/>
      <c r="AX15" s="17"/>
      <c r="AY15" s="17"/>
      <c r="AZ15" s="176"/>
      <c r="BA15" s="177"/>
      <c r="BB15" s="17"/>
      <c r="BC15" s="187"/>
      <c r="BD15" s="17"/>
      <c r="BE15" s="17"/>
      <c r="BF15" s="173"/>
      <c r="BG15" s="17">
        <f>IFERROR(__xludf.DUMMYFUNCTION("""COMPUTED_VALUE"""),462255.35)</f>
        <v>462255.35</v>
      </c>
      <c r="BH15" s="17"/>
      <c r="BI15" s="17"/>
      <c r="BJ15" s="17"/>
      <c r="BK15" s="17"/>
      <c r="BL15" s="179"/>
      <c r="BM15" s="180" t="str">
        <f>IFERROR(__xludf.DUMMYFUNCTION("""COMPUTED_VALUE"""),"Approval")</f>
        <v>Approval</v>
      </c>
      <c r="BN15" s="181">
        <f>IFERROR(__xludf.DUMMYFUNCTION("""COMPUTED_VALUE"""),46148.39056732639)</f>
        <v>46148.39057</v>
      </c>
      <c r="BO15" s="2"/>
      <c r="BP15" s="133"/>
      <c r="BQ15" s="133"/>
      <c r="BR15" s="133"/>
      <c r="BS15" s="25"/>
    </row>
    <row r="16" hidden="1">
      <c r="A16" s="200" t="str">
        <f>IFERROR(__xludf.DUMMYFUNCTION("""COMPUTED_VALUE"""),"April'26")</f>
        <v>April'26</v>
      </c>
      <c r="B16" s="201" t="str">
        <f>IFERROR(__xludf.DUMMYFUNCTION("""COMPUTED_VALUE"""),"Colgate - Retail (Non-active)")</f>
        <v>Colgate - Retail (Non-active)</v>
      </c>
      <c r="C16" s="202" t="str">
        <f>IFERROR(__xludf.DUMMYFUNCTION("""COMPUTED_VALUE"""),"2256 Colgate-Palmolive (Thailand) Limited")</f>
        <v>2256 Colgate-Palmolive (Thailand) Limited</v>
      </c>
      <c r="D16" s="203" t="str">
        <f>IFERROR(__xludf.DUMMYFUNCTION("""COMPUTED_VALUE"""),"JBP - Half Year + Invoice")</f>
        <v>JBP - Half Year + Invoice</v>
      </c>
      <c r="E16" s="204" t="str">
        <f>IFERROR(__xludf.DUMMYFUNCTION("""COMPUTED_VALUE"""),"Win")</f>
        <v>Win</v>
      </c>
      <c r="F16" s="205" t="str">
        <f>IFERROR(__xludf.DUMMYFUNCTION("""COMPUTED_VALUE"""),"New")</f>
        <v>New</v>
      </c>
      <c r="G16" s="206" t="str">
        <f>IFERROR(__xludf.DUMMYFUNCTION("""COMPUTED_VALUE"""),"Nat")</f>
        <v>Nat</v>
      </c>
      <c r="H16" s="206">
        <f>IFERROR(__xludf.DUMMYFUNCTION("""COMPUTED_VALUE"""),0.0)</f>
        <v>0</v>
      </c>
      <c r="I16" s="206">
        <f>IFERROR(__xludf.DUMMYFUNCTION("""COMPUTED_VALUE"""),0.0)</f>
        <v>0</v>
      </c>
      <c r="J16" s="206">
        <f>IFERROR(__xludf.DUMMYFUNCTION("""COMPUTED_VALUE"""),0.0)</f>
        <v>0</v>
      </c>
      <c r="K16" s="207">
        <f>IFERROR(__xludf.DUMMYFUNCTION("""COMPUTED_VALUE"""),0.0)</f>
        <v>0</v>
      </c>
      <c r="L16" s="208">
        <f>IFERROR(__xludf.DUMMYFUNCTION("""COMPUTED_VALUE"""),0.0)</f>
        <v>0</v>
      </c>
      <c r="M16" s="209">
        <f>IFERROR(__xludf.DUMMYFUNCTION("""COMPUTED_VALUE"""),23000.0)</f>
        <v>23000</v>
      </c>
      <c r="N16" s="210"/>
      <c r="O16" s="211"/>
      <c r="P16" s="212">
        <f>IFERROR(__xludf.DUMMYFUNCTION("""COMPUTED_VALUE"""),0.0)</f>
        <v>0</v>
      </c>
      <c r="Q16" s="213">
        <f>IFERROR(__xludf.DUMMYFUNCTION("""COMPUTED_VALUE"""),0.0)</f>
        <v>0</v>
      </c>
      <c r="R16" s="212">
        <f>IFERROR(__xludf.DUMMYFUNCTION("""COMPUTED_VALUE"""),0.0)</f>
        <v>0</v>
      </c>
      <c r="S16" s="212">
        <f>IFERROR(__xludf.DUMMYFUNCTION("""COMPUTED_VALUE"""),0.0)</f>
        <v>0</v>
      </c>
      <c r="T16" s="212">
        <f>IFERROR(__xludf.DUMMYFUNCTION("""COMPUTED_VALUE"""),0.0)</f>
        <v>0</v>
      </c>
      <c r="U16" s="212">
        <f>IFERROR(__xludf.DUMMYFUNCTION("""COMPUTED_VALUE"""),0.0)</f>
        <v>0</v>
      </c>
      <c r="V16" s="212">
        <f>IFERROR(__xludf.DUMMYFUNCTION("""COMPUTED_VALUE"""),0.0)</f>
        <v>0</v>
      </c>
      <c r="W16" s="212">
        <f>IFERROR(__xludf.DUMMYFUNCTION("""COMPUTED_VALUE"""),0.0)</f>
        <v>0</v>
      </c>
      <c r="X16" s="165" t="str">
        <f>IFERROR(__xludf.DUMMYFUNCTION("""COMPUTED_VALUE"""),"0")</f>
        <v>0</v>
      </c>
      <c r="Y16" s="165">
        <f>IFERROR(__xludf.DUMMYFUNCTION("""COMPUTED_VALUE"""),0.0)</f>
        <v>0</v>
      </c>
      <c r="Z16" s="165">
        <f>IFERROR(__xludf.DUMMYFUNCTION("""COMPUTED_VALUE"""),0.0)</f>
        <v>0</v>
      </c>
      <c r="AA16" s="165">
        <f>IFERROR(__xludf.DUMMYFUNCTION("""COMPUTED_VALUE"""),0.0)</f>
        <v>0</v>
      </c>
      <c r="AB16" s="165">
        <f>IFERROR(__xludf.DUMMYFUNCTION("""COMPUTED_VALUE"""),0.0)</f>
        <v>0</v>
      </c>
      <c r="AC16" s="213">
        <f>IFERROR(__xludf.DUMMYFUNCTION("""COMPUTED_VALUE"""),0.0)</f>
        <v>0</v>
      </c>
      <c r="AD16" s="132">
        <f>IFERROR(__xludf.DUMMYFUNCTION("""COMPUTED_VALUE"""),0.0)</f>
        <v>0</v>
      </c>
      <c r="AE16" s="129"/>
      <c r="AF16" s="214"/>
      <c r="AG16" s="132"/>
      <c r="AH16" s="214"/>
      <c r="AI16" s="167"/>
      <c r="AJ16" s="17"/>
      <c r="AK16" s="214"/>
      <c r="AL16" s="132"/>
      <c r="AM16" s="171"/>
      <c r="AN16" s="214">
        <f>IFERROR(__xludf.DUMMYFUNCTION("""COMPUTED_VALUE"""),0.0)</f>
        <v>0</v>
      </c>
      <c r="AO16" s="129"/>
      <c r="AP16" s="129"/>
      <c r="AQ16" s="214"/>
      <c r="AR16" s="129"/>
      <c r="AS16" s="129"/>
      <c r="AT16" s="129"/>
      <c r="AU16" s="129"/>
      <c r="AV16" s="129"/>
      <c r="AW16" s="129"/>
      <c r="AX16" s="129"/>
      <c r="AY16" s="129"/>
      <c r="AZ16" s="215"/>
      <c r="BA16" s="216"/>
      <c r="BB16" s="129"/>
      <c r="BC16" s="209"/>
      <c r="BD16" s="129"/>
      <c r="BE16" s="129"/>
      <c r="BF16" s="129"/>
      <c r="BG16" s="129"/>
      <c r="BH16" s="129"/>
      <c r="BI16" s="129"/>
      <c r="BJ16" s="129"/>
      <c r="BK16" s="129"/>
      <c r="BL16" s="195"/>
      <c r="BM16" s="217"/>
      <c r="BN16" s="217" t="str">
        <f>IFERROR(__xludf.DUMMYFUNCTION("""COMPUTED_VALUE"""),"")</f>
        <v/>
      </c>
      <c r="BO16" s="218"/>
      <c r="BP16" s="129"/>
      <c r="BQ16" s="129"/>
      <c r="BR16" s="129"/>
      <c r="BS16" s="25"/>
    </row>
    <row r="17" hidden="1">
      <c r="A17" s="151" t="str">
        <f>IFERROR(__xludf.DUMMYFUNCTION("""COMPUTED_VALUE"""),"April'26")</f>
        <v>April'26</v>
      </c>
      <c r="B17" s="152" t="str">
        <f>IFERROR(__xludf.DUMMYFUNCTION("""COMPUTED_VALUE"""),"Philips Lighting - Retails")</f>
        <v>Philips Lighting - Retails</v>
      </c>
      <c r="C17" s="190" t="str">
        <f>IFERROR(__xludf.DUMMYFUNCTION("""COMPUTED_VALUE"""),"5783 Signify Commercial (Thailand) Limited")</f>
        <v>5783 Signify Commercial (Thailand) Limited</v>
      </c>
      <c r="D17" s="219" t="str">
        <f>IFERROR(__xludf.DUMMYFUNCTION("""COMPUTED_VALUE"""),"JBP")</f>
        <v>JBP</v>
      </c>
      <c r="E17" s="189" t="str">
        <f>IFERROR(__xludf.DUMMYFUNCTION("""COMPUTED_VALUE"""),"Un")</f>
        <v>Un</v>
      </c>
      <c r="F17" s="156" t="str">
        <f>IFERROR(__xludf.DUMMYFUNCTION("""COMPUTED_VALUE"""),"Korn")</f>
        <v>Korn</v>
      </c>
      <c r="G17" s="220" t="str">
        <f>IFERROR(__xludf.DUMMYFUNCTION("""COMPUTED_VALUE"""),"JJ")</f>
        <v>JJ</v>
      </c>
      <c r="H17" s="157">
        <f>IFERROR(__xludf.DUMMYFUNCTION("""COMPUTED_VALUE"""),0.13)</f>
        <v>0.13</v>
      </c>
      <c r="I17" s="157">
        <f>IFERROR(__xludf.DUMMYFUNCTION("""COMPUTED_VALUE"""),0.0)</f>
        <v>0</v>
      </c>
      <c r="J17" s="157">
        <f>IFERROR(__xludf.DUMMYFUNCTION("""COMPUTED_VALUE"""),0.0)</f>
        <v>0</v>
      </c>
      <c r="K17" s="158">
        <f>IFERROR(__xludf.DUMMYFUNCTION("""COMPUTED_VALUE"""),0.0)</f>
        <v>0</v>
      </c>
      <c r="L17" s="221">
        <f>IFERROR(__xludf.DUMMYFUNCTION("""COMPUTED_VALUE"""),0.0)</f>
        <v>0</v>
      </c>
      <c r="M17" s="222">
        <f>IFERROR(__xludf.DUMMYFUNCTION("""COMPUTED_VALUE"""),50000.0)</f>
        <v>50000</v>
      </c>
      <c r="N17" s="223"/>
      <c r="O17" s="185" t="str">
        <f>IFERROR(__xludf.DUMMYFUNCTION("""COMPUTED_VALUE"""),"Signify x Intrepid payment tracking")</f>
        <v>Signify x Intrepid payment tracking</v>
      </c>
      <c r="P17" s="171">
        <f>IFERROR(__xludf.DUMMYFUNCTION("""COMPUTED_VALUE"""),471346.39954859816)</f>
        <v>471346.3995</v>
      </c>
      <c r="Q17" s="186">
        <f>IFERROR(__xludf.DUMMYFUNCTION("""COMPUTED_VALUE"""),32994.247968401876)</f>
        <v>32994.24797</v>
      </c>
      <c r="R17" s="171">
        <f>IFERROR(__xludf.DUMMYFUNCTION("""COMPUTED_VALUE"""),504340.64751700003)</f>
        <v>504340.6475</v>
      </c>
      <c r="S17" s="171">
        <f>IFERROR(__xludf.DUMMYFUNCTION("""COMPUTED_VALUE"""),0.0)</f>
        <v>0</v>
      </c>
      <c r="T17" s="171">
        <f>IFERROR(__xludf.DUMMYFUNCTION("""COMPUTED_VALUE"""),0.0)</f>
        <v>0</v>
      </c>
      <c r="U17" s="171">
        <f>IFERROR(__xludf.DUMMYFUNCTION("""COMPUTED_VALUE"""),0.0)</f>
        <v>0</v>
      </c>
      <c r="V17" s="171">
        <f>IFERROR(__xludf.DUMMYFUNCTION("""COMPUTED_VALUE"""),220000.0)</f>
        <v>220000</v>
      </c>
      <c r="W17" s="171">
        <f>IFERROR(__xludf.DUMMYFUNCTION("""COMPUTED_VALUE"""),165380.14644859813)</f>
        <v>165380.1464</v>
      </c>
      <c r="X17" s="165">
        <f>IFERROR(__xludf.DUMMYFUNCTION("""COMPUTED_VALUE"""),85966.25310000002)</f>
        <v>85966.2531</v>
      </c>
      <c r="Y17" s="165">
        <f>IFERROR(__xludf.DUMMYFUNCTION("""COMPUTED_VALUE"""),367600.57)</f>
        <v>367600.57</v>
      </c>
      <c r="Z17" s="165">
        <f>IFERROR(__xludf.DUMMYFUNCTION("""COMPUTED_VALUE"""),103953.74)</f>
        <v>103953.74</v>
      </c>
      <c r="AA17" s="165">
        <f>IFERROR(__xludf.DUMMYFUNCTION("""COMPUTED_VALUE"""),59429.509999999995)</f>
        <v>59429.51</v>
      </c>
      <c r="AB17" s="165">
        <f>IFERROR(__xludf.DUMMYFUNCTION("""COMPUTED_VALUE"""),58655.94)</f>
        <v>58655.94</v>
      </c>
      <c r="AC17" s="186">
        <f>IFERROR(__xludf.DUMMYFUNCTION("""COMPUTED_VALUE"""),0.0)</f>
        <v>0</v>
      </c>
      <c r="AD17" s="167">
        <f>IFERROR(__xludf.DUMMYFUNCTION("""COMPUTED_VALUE"""),582508.6900000001)</f>
        <v>582508.69</v>
      </c>
      <c r="AE17" s="17"/>
      <c r="AF17" s="168"/>
      <c r="AG17" s="167"/>
      <c r="AH17" s="168"/>
      <c r="AI17" s="167"/>
      <c r="AJ17" s="17"/>
      <c r="AK17" s="224"/>
      <c r="AL17" s="169">
        <f>IFERROR(__xludf.DUMMYFUNCTION("""COMPUTED_VALUE"""),220000.0)</f>
        <v>220000</v>
      </c>
      <c r="AM17" s="178">
        <f>IFERROR(__xludf.DUMMYFUNCTION("""COMPUTED_VALUE"""),58655.94)</f>
        <v>58655.94</v>
      </c>
      <c r="AN17" s="168">
        <f>IFERROR(__xludf.DUMMYFUNCTION("""COMPUTED_VALUE"""),59356.869999999995)</f>
        <v>59356.87</v>
      </c>
      <c r="AO17" s="171"/>
      <c r="AP17" s="17">
        <f>IFERROR(__xludf.DUMMYFUNCTION("""COMPUTED_VALUE"""),47367.33644859813)</f>
        <v>47367.33645</v>
      </c>
      <c r="AQ17" s="168"/>
      <c r="AR17" s="173"/>
      <c r="AS17" s="173">
        <f>IFERROR(__xludf.DUMMYFUNCTION("""COMPUTED_VALUE"""),7131.07)</f>
        <v>7131.07</v>
      </c>
      <c r="AT17" s="173">
        <f>IFERROR(__xludf.DUMMYFUNCTION("""COMPUTED_VALUE"""),303974.35)</f>
        <v>303974.35</v>
      </c>
      <c r="AU17" s="173">
        <f>IFERROR(__xludf.DUMMYFUNCTION("""COMPUTED_VALUE"""),404.01)</f>
        <v>404.01</v>
      </c>
      <c r="AV17" s="173">
        <f>IFERROR(__xludf.DUMMYFUNCTION("""COMPUTED_VALUE"""),56091.14)</f>
        <v>56091.14</v>
      </c>
      <c r="AW17" s="173">
        <f>IFERROR(__xludf.DUMMYFUNCTION("""COMPUTED_VALUE"""),29490.270000000004)</f>
        <v>29490.27</v>
      </c>
      <c r="AX17" s="173">
        <f>IFERROR(__xludf.DUMMYFUNCTION("""COMPUTED_VALUE"""),33056.48)</f>
        <v>33056.48</v>
      </c>
      <c r="AY17" s="17">
        <f>IFERROR(__xludf.DUMMYFUNCTION("""COMPUTED_VALUE"""),41406.99)</f>
        <v>41406.99</v>
      </c>
      <c r="AZ17" s="176"/>
      <c r="BA17" s="173"/>
      <c r="BB17" s="173">
        <f>IFERROR(__xludf.DUMMYFUNCTION("""COMPUTED_VALUE"""),15219.96)</f>
        <v>15219.96</v>
      </c>
      <c r="BC17" s="187">
        <f>IFERROR(__xludf.DUMMYFUNCTION("""COMPUTED_VALUE"""),43435.98)</f>
        <v>43435.98</v>
      </c>
      <c r="BD17" s="17"/>
      <c r="BE17" s="17"/>
      <c r="BF17" s="173"/>
      <c r="BG17" s="17">
        <f>IFERROR(__xludf.DUMMYFUNCTION("""COMPUTED_VALUE"""),59356.869999999995)</f>
        <v>59356.87</v>
      </c>
      <c r="BH17" s="173"/>
      <c r="BI17" s="17">
        <f>IFERROR(__xludf.DUMMYFUNCTION("""COMPUTED_VALUE"""),72.64)</f>
        <v>72.64</v>
      </c>
      <c r="BJ17" s="17"/>
      <c r="BK17" s="17"/>
      <c r="BL17" s="179"/>
      <c r="BM17" s="180" t="str">
        <f>IFERROR(__xludf.DUMMYFUNCTION("""COMPUTED_VALUE"""),"Approval")</f>
        <v>Approval</v>
      </c>
      <c r="BN17" s="181">
        <f>IFERROR(__xludf.DUMMYFUNCTION("""COMPUTED_VALUE"""),46147.638796493055)</f>
        <v>46147.6388</v>
      </c>
      <c r="BO17" s="2"/>
      <c r="BP17" s="133"/>
      <c r="BQ17" s="133"/>
      <c r="BR17" s="133"/>
      <c r="BS17" s="25"/>
    </row>
    <row r="18" hidden="1">
      <c r="A18" s="151" t="str">
        <f>IFERROR(__xludf.DUMMYFUNCTION("""COMPUTED_VALUE"""),"April'26")</f>
        <v>April'26</v>
      </c>
      <c r="B18" s="152" t="str">
        <f>IFERROR(__xludf.DUMMYFUNCTION("""COMPUTED_VALUE"""),"Philips Lighting - Retails (Extra Project)")</f>
        <v>Philips Lighting - Retails (Extra Project)</v>
      </c>
      <c r="C18" s="190" t="str">
        <f>IFERROR(__xludf.DUMMYFUNCTION("""COMPUTED_VALUE"""),"5783 Signify Commercial (Thailand) Limited")</f>
        <v>5783 Signify Commercial (Thailand) Limited</v>
      </c>
      <c r="D18" s="219" t="str">
        <f>IFERROR(__xludf.DUMMYFUNCTION("""COMPUTED_VALUE"""),"JBP")</f>
        <v>JBP</v>
      </c>
      <c r="E18" s="189" t="str">
        <f>IFERROR(__xludf.DUMMYFUNCTION("""COMPUTED_VALUE"""),"Un")</f>
        <v>Un</v>
      </c>
      <c r="F18" s="156" t="str">
        <f>IFERROR(__xludf.DUMMYFUNCTION("""COMPUTED_VALUE"""),"Korn")</f>
        <v>Korn</v>
      </c>
      <c r="G18" s="220" t="str">
        <f>IFERROR(__xludf.DUMMYFUNCTION("""COMPUTED_VALUE"""),"Nut")</f>
        <v>Nut</v>
      </c>
      <c r="H18" s="157">
        <f>IFERROR(__xludf.DUMMYFUNCTION("""COMPUTED_VALUE"""),0.13)</f>
        <v>0.13</v>
      </c>
      <c r="I18" s="157">
        <f>IFERROR(__xludf.DUMMYFUNCTION("""COMPUTED_VALUE"""),0.0)</f>
        <v>0</v>
      </c>
      <c r="J18" s="157">
        <f>IFERROR(__xludf.DUMMYFUNCTION("""COMPUTED_VALUE"""),0.0)</f>
        <v>0</v>
      </c>
      <c r="K18" s="158">
        <f>IFERROR(__xludf.DUMMYFUNCTION("""COMPUTED_VALUE"""),0.0)</f>
        <v>0</v>
      </c>
      <c r="M18" s="222"/>
      <c r="N18" s="196"/>
      <c r="O18" s="185"/>
      <c r="P18" s="171">
        <f>IFERROR(__xludf.DUMMYFUNCTION("""COMPUTED_VALUE"""),60935.93)</f>
        <v>60935.93</v>
      </c>
      <c r="Q18" s="186">
        <f>IFERROR(__xludf.DUMMYFUNCTION("""COMPUTED_VALUE"""),4265.5151000000005)</f>
        <v>4265.5151</v>
      </c>
      <c r="R18" s="171">
        <f>IFERROR(__xludf.DUMMYFUNCTION("""COMPUTED_VALUE"""),65201.4451)</f>
        <v>65201.4451</v>
      </c>
      <c r="S18" s="171">
        <f>IFERROR(__xludf.DUMMYFUNCTION("""COMPUTED_VALUE"""),0.0)</f>
        <v>0</v>
      </c>
      <c r="T18" s="171">
        <f>IFERROR(__xludf.DUMMYFUNCTION("""COMPUTED_VALUE"""),0.0)</f>
        <v>0</v>
      </c>
      <c r="U18" s="171">
        <f>IFERROR(__xludf.DUMMYFUNCTION("""COMPUTED_VALUE"""),0.0)</f>
        <v>0</v>
      </c>
      <c r="V18" s="171">
        <f>IFERROR(__xludf.DUMMYFUNCTION("""COMPUTED_VALUE"""),0.0)</f>
        <v>0</v>
      </c>
      <c r="X18" s="165"/>
      <c r="Y18" s="165">
        <f>IFERROR(__xludf.DUMMYFUNCTION("""COMPUTED_VALUE"""),0.0)</f>
        <v>0</v>
      </c>
      <c r="Z18" s="165">
        <f>IFERROR(__xludf.DUMMYFUNCTION("""COMPUTED_VALUE"""),0.0)</f>
        <v>0</v>
      </c>
      <c r="AA18" s="165">
        <f>IFERROR(__xludf.DUMMYFUNCTION("""COMPUTED_VALUE"""),0.0)</f>
        <v>0</v>
      </c>
      <c r="AB18" s="165">
        <f>IFERROR(__xludf.DUMMYFUNCTION("""COMPUTED_VALUE"""),60935.93)</f>
        <v>60935.93</v>
      </c>
      <c r="AC18" s="186">
        <f>IFERROR(__xludf.DUMMYFUNCTION("""COMPUTED_VALUE"""),0.0)</f>
        <v>0</v>
      </c>
      <c r="AD18" s="167">
        <f>IFERROR(__xludf.DUMMYFUNCTION("""COMPUTED_VALUE"""),60935.93)</f>
        <v>60935.93</v>
      </c>
      <c r="AE18" s="17"/>
      <c r="AF18" s="168"/>
      <c r="AG18" s="17"/>
      <c r="AH18" s="168"/>
      <c r="AI18" s="167"/>
      <c r="AJ18" s="17"/>
      <c r="AK18" s="168"/>
      <c r="AL18" s="169"/>
      <c r="AM18" s="225">
        <f>IFERROR(__xludf.DUMMYFUNCTION("""COMPUTED_VALUE"""),60935.93)</f>
        <v>60935.93</v>
      </c>
      <c r="AN18" s="226"/>
      <c r="AO18" s="17"/>
      <c r="AP18" s="17"/>
      <c r="AQ18" s="168"/>
      <c r="AR18" s="17"/>
      <c r="AS18" s="17"/>
      <c r="AT18" s="17"/>
      <c r="AU18" s="17"/>
      <c r="AV18" s="17"/>
      <c r="AW18" s="17"/>
      <c r="AX18" s="17"/>
      <c r="AY18" s="17"/>
      <c r="AZ18" s="176"/>
      <c r="BA18" s="173"/>
      <c r="BB18" s="173">
        <f>IFERROR(__xludf.DUMMYFUNCTION("""COMPUTED_VALUE"""),14867.890000000001)</f>
        <v>14867.89</v>
      </c>
      <c r="BC18" s="187">
        <f>IFERROR(__xludf.DUMMYFUNCTION("""COMPUTED_VALUE"""),46068.04)</f>
        <v>46068.04</v>
      </c>
      <c r="BD18" s="17"/>
      <c r="BE18" s="17"/>
      <c r="BF18" s="17"/>
      <c r="BG18" s="17"/>
      <c r="BH18" s="17"/>
      <c r="BI18" s="17"/>
      <c r="BJ18" s="17"/>
      <c r="BK18" s="168"/>
      <c r="BL18" s="179"/>
      <c r="BM18" s="181" t="str">
        <f>IFERROR(__xludf.DUMMYFUNCTION("""COMPUTED_VALUE"""),"Approval")</f>
        <v>Approval</v>
      </c>
      <c r="BN18" s="2"/>
      <c r="BO18" s="2"/>
      <c r="BP18" s="133"/>
      <c r="BQ18" s="133"/>
      <c r="BR18" s="133"/>
      <c r="BS18" s="25"/>
    </row>
    <row r="19" hidden="1">
      <c r="A19" s="151" t="str">
        <f>IFERROR(__xludf.DUMMYFUNCTION("""COMPUTED_VALUE"""),"April'26")</f>
        <v>April'26</v>
      </c>
      <c r="B19" s="152" t="str">
        <f>IFERROR(__xludf.DUMMYFUNCTION("""COMPUTED_VALUE"""),"WiZ Connected")</f>
        <v>WiZ Connected</v>
      </c>
      <c r="C19" s="190" t="str">
        <f>IFERROR(__xludf.DUMMYFUNCTION("""COMPUTED_VALUE"""),"5783 Signify Commercial (Thailand) Limited")</f>
        <v>5783 Signify Commercial (Thailand) Limited</v>
      </c>
      <c r="D19" s="219" t="str">
        <f>IFERROR(__xludf.DUMMYFUNCTION("""COMPUTED_VALUE"""),"-")</f>
        <v>-</v>
      </c>
      <c r="E19" s="189" t="str">
        <f>IFERROR(__xludf.DUMMYFUNCTION("""COMPUTED_VALUE"""),"Un")</f>
        <v>Un</v>
      </c>
      <c r="F19" s="156" t="str">
        <f>IFERROR(__xludf.DUMMYFUNCTION("""COMPUTED_VALUE"""),"Korn, Ball")</f>
        <v>Korn, Ball</v>
      </c>
      <c r="G19" s="220" t="str">
        <f>IFERROR(__xludf.DUMMYFUNCTION("""COMPUTED_VALUE"""),"JJ")</f>
        <v>JJ</v>
      </c>
      <c r="H19" s="157">
        <f>IFERROR(__xludf.DUMMYFUNCTION("""COMPUTED_VALUE"""),0.13)</f>
        <v>0.13</v>
      </c>
      <c r="I19" s="157">
        <f>IFERROR(__xludf.DUMMYFUNCTION("""COMPUTED_VALUE"""),0.0)</f>
        <v>0</v>
      </c>
      <c r="J19" s="157">
        <f>IFERROR(__xludf.DUMMYFUNCTION("""COMPUTED_VALUE"""),0.0)</f>
        <v>0</v>
      </c>
      <c r="K19" s="158">
        <f>IFERROR(__xludf.DUMMYFUNCTION("""COMPUTED_VALUE"""),0.0)</f>
        <v>0</v>
      </c>
      <c r="M19" s="222"/>
      <c r="N19" s="223"/>
      <c r="O19" s="185" t="str">
        <f>IFERROR(__xludf.DUMMYFUNCTION("""COMPUTED_VALUE"""),"Signify x Intrepid payment tracking")</f>
        <v>Signify x Intrepid payment tracking</v>
      </c>
      <c r="P19" s="171">
        <f>IFERROR(__xludf.DUMMYFUNCTION("""COMPUTED_VALUE"""),38963.36448598131)</f>
        <v>38963.36449</v>
      </c>
      <c r="Q19" s="186">
        <f>IFERROR(__xludf.DUMMYFUNCTION("""COMPUTED_VALUE"""),2727.4355140186917)</f>
        <v>2727.435514</v>
      </c>
      <c r="R19" s="171">
        <f>IFERROR(__xludf.DUMMYFUNCTION("""COMPUTED_VALUE"""),41690.799999999996)</f>
        <v>41690.8</v>
      </c>
      <c r="S19" s="171">
        <f>IFERROR(__xludf.DUMMYFUNCTION("""COMPUTED_VALUE"""),0.0)</f>
        <v>0</v>
      </c>
      <c r="T19" s="171">
        <f>IFERROR(__xludf.DUMMYFUNCTION("""COMPUTED_VALUE"""),0.0)</f>
        <v>0</v>
      </c>
      <c r="U19" s="171">
        <f>IFERROR(__xludf.DUMMYFUNCTION("""COMPUTED_VALUE"""),0.0)</f>
        <v>0</v>
      </c>
      <c r="V19" s="171">
        <f>IFERROR(__xludf.DUMMYFUNCTION("""COMPUTED_VALUE"""),35360.0)</f>
        <v>35360</v>
      </c>
      <c r="X19" s="165"/>
      <c r="Y19" s="165">
        <f>IFERROR(__xludf.DUMMYFUNCTION("""COMPUTED_VALUE"""),69947.12)</f>
        <v>69947.12</v>
      </c>
      <c r="Z19" s="165">
        <f>IFERROR(__xludf.DUMMYFUNCTION("""COMPUTED_VALUE"""),8823.06)</f>
        <v>8823.06</v>
      </c>
      <c r="AA19" s="165">
        <f>IFERROR(__xludf.DUMMYFUNCTION("""COMPUTED_VALUE"""),0.0)</f>
        <v>0</v>
      </c>
      <c r="AB19" s="165">
        <f>IFERROR(__xludf.DUMMYFUNCTION("""COMPUTED_VALUE"""),0.0)</f>
        <v>0</v>
      </c>
      <c r="AC19" s="186">
        <f>IFERROR(__xludf.DUMMYFUNCTION("""COMPUTED_VALUE"""),0.0)</f>
        <v>0</v>
      </c>
      <c r="AD19" s="167">
        <f>IFERROR(__xludf.DUMMYFUNCTION("""COMPUTED_VALUE"""),78770.18)</f>
        <v>78770.18</v>
      </c>
      <c r="AE19" s="17"/>
      <c r="AF19" s="168"/>
      <c r="AG19" s="167"/>
      <c r="AH19" s="168"/>
      <c r="AI19" s="169"/>
      <c r="AJ19" s="17">
        <f>IFERROR(__xludf.DUMMYFUNCTION("""COMPUTED_VALUE"""),5360.0)</f>
        <v>5360</v>
      </c>
      <c r="AK19" s="224"/>
      <c r="AL19" s="167">
        <f>IFERROR(__xludf.DUMMYFUNCTION("""COMPUTED_VALUE"""),30000.0)</f>
        <v>30000</v>
      </c>
      <c r="AM19" s="17"/>
      <c r="AN19" s="226"/>
      <c r="AO19" s="171"/>
      <c r="AP19" s="17">
        <f>IFERROR(__xludf.DUMMYFUNCTION("""COMPUTED_VALUE"""),3603.364485981308)</f>
        <v>3603.364486</v>
      </c>
      <c r="AQ19" s="168"/>
      <c r="AR19" s="173"/>
      <c r="AS19" s="173">
        <f>IFERROR(__xludf.DUMMYFUNCTION("""COMPUTED_VALUE"""),10081.83)</f>
        <v>10081.83</v>
      </c>
      <c r="AT19" s="17">
        <f>IFERROR(__xludf.DUMMYFUNCTION("""COMPUTED_VALUE"""),46606.75)</f>
        <v>46606.75</v>
      </c>
      <c r="AU19" s="173"/>
      <c r="AV19" s="173">
        <f>IFERROR(__xludf.DUMMYFUNCTION("""COMPUTED_VALUE"""),13258.54)</f>
        <v>13258.54</v>
      </c>
      <c r="AW19" s="173">
        <f>IFERROR(__xludf.DUMMYFUNCTION("""COMPUTED_VALUE"""),4388.71)</f>
        <v>4388.71</v>
      </c>
      <c r="AX19" s="173">
        <f>IFERROR(__xludf.DUMMYFUNCTION("""COMPUTED_VALUE"""),2176.42)</f>
        <v>2176.42</v>
      </c>
      <c r="AY19" s="225">
        <f>IFERROR(__xludf.DUMMYFUNCTION("""COMPUTED_VALUE"""),2257.93)</f>
        <v>2257.93</v>
      </c>
      <c r="AZ19" s="176"/>
      <c r="BA19" s="177"/>
      <c r="BB19" s="17"/>
      <c r="BC19" s="187"/>
      <c r="BD19" s="17"/>
      <c r="BE19" s="17"/>
      <c r="BF19" s="17"/>
      <c r="BG19" s="17"/>
      <c r="BH19" s="17"/>
      <c r="BI19" s="17"/>
      <c r="BJ19" s="17"/>
      <c r="BK19" s="168"/>
      <c r="BL19" s="179"/>
      <c r="BM19" s="180" t="str">
        <f>IFERROR(__xludf.DUMMYFUNCTION("""COMPUTED_VALUE"""),"Approval")</f>
        <v>Approval</v>
      </c>
      <c r="BN19" s="181">
        <f>IFERROR(__xludf.DUMMYFUNCTION("""COMPUTED_VALUE"""),46147.65812341435)</f>
        <v>46147.65812</v>
      </c>
      <c r="BO19" s="133"/>
      <c r="BP19" s="133"/>
      <c r="BQ19" s="133"/>
      <c r="BR19" s="133"/>
      <c r="BS19" s="25"/>
    </row>
    <row r="20" hidden="1">
      <c r="A20" s="151" t="str">
        <f>IFERROR(__xludf.DUMMYFUNCTION("""COMPUTED_VALUE"""),"April'26")</f>
        <v>April'26</v>
      </c>
      <c r="B20" s="152" t="str">
        <f>IFERROR(__xludf.DUMMYFUNCTION("""COMPUTED_VALUE"""),"WiZ Connected - Retails (Extra Project)")</f>
        <v>WiZ Connected - Retails (Extra Project)</v>
      </c>
      <c r="C20" s="190" t="str">
        <f>IFERROR(__xludf.DUMMYFUNCTION("""COMPUTED_VALUE"""),"5783 Signify Commercial (Thailand) Limited")</f>
        <v>5783 Signify Commercial (Thailand) Limited</v>
      </c>
      <c r="D20" s="219" t="str">
        <f>IFERROR(__xludf.DUMMYFUNCTION("""COMPUTED_VALUE"""),"-")</f>
        <v>-</v>
      </c>
      <c r="E20" s="189" t="str">
        <f>IFERROR(__xludf.DUMMYFUNCTION("""COMPUTED_VALUE"""),"Un")</f>
        <v>Un</v>
      </c>
      <c r="F20" s="156" t="str">
        <f>IFERROR(__xludf.DUMMYFUNCTION("""COMPUTED_VALUE"""),"Korn")</f>
        <v>Korn</v>
      </c>
      <c r="G20" s="220" t="str">
        <f>IFERROR(__xludf.DUMMYFUNCTION("""COMPUTED_VALUE"""),"Nut")</f>
        <v>Nut</v>
      </c>
      <c r="H20" s="157">
        <f>IFERROR(__xludf.DUMMYFUNCTION("""COMPUTED_VALUE"""),0.13)</f>
        <v>0.13</v>
      </c>
      <c r="I20" s="157">
        <f>IFERROR(__xludf.DUMMYFUNCTION("""COMPUTED_VALUE"""),0.0)</f>
        <v>0</v>
      </c>
      <c r="J20" s="157">
        <f>IFERROR(__xludf.DUMMYFUNCTION("""COMPUTED_VALUE"""),0.0)</f>
        <v>0</v>
      </c>
      <c r="K20" s="158">
        <f>IFERROR(__xludf.DUMMYFUNCTION("""COMPUTED_VALUE"""),0.0)</f>
        <v>0</v>
      </c>
      <c r="M20" s="222"/>
      <c r="N20" s="196"/>
      <c r="O20" s="185"/>
      <c r="P20" s="171">
        <f>IFERROR(__xludf.DUMMYFUNCTION("""COMPUTED_VALUE"""),84393.49999999999)</f>
        <v>84393.5</v>
      </c>
      <c r="Q20" s="186">
        <f>IFERROR(__xludf.DUMMYFUNCTION("""COMPUTED_VALUE"""),5907.544999999999)</f>
        <v>5907.545</v>
      </c>
      <c r="R20" s="171">
        <f>IFERROR(__xludf.DUMMYFUNCTION("""COMPUTED_VALUE"""),90301.04499999998)</f>
        <v>90301.045</v>
      </c>
      <c r="S20" s="171">
        <f>IFERROR(__xludf.DUMMYFUNCTION("""COMPUTED_VALUE"""),0.0)</f>
        <v>0</v>
      </c>
      <c r="T20" s="171">
        <f>IFERROR(__xludf.DUMMYFUNCTION("""COMPUTED_VALUE"""),0.0)</f>
        <v>0</v>
      </c>
      <c r="U20" s="171">
        <f>IFERROR(__xludf.DUMMYFUNCTION("""COMPUTED_VALUE"""),0.0)</f>
        <v>0</v>
      </c>
      <c r="V20" s="171">
        <f>IFERROR(__xludf.DUMMYFUNCTION("""COMPUTED_VALUE"""),0.0)</f>
        <v>0</v>
      </c>
      <c r="X20" s="165"/>
      <c r="Y20" s="165">
        <f>IFERROR(__xludf.DUMMYFUNCTION("""COMPUTED_VALUE"""),0.0)</f>
        <v>0</v>
      </c>
      <c r="Z20" s="165">
        <f>IFERROR(__xludf.DUMMYFUNCTION("""COMPUTED_VALUE"""),0.0)</f>
        <v>0</v>
      </c>
      <c r="AA20" s="165">
        <f>IFERROR(__xludf.DUMMYFUNCTION("""COMPUTED_VALUE"""),0.0)</f>
        <v>0</v>
      </c>
      <c r="AB20" s="165">
        <f>IFERROR(__xludf.DUMMYFUNCTION("""COMPUTED_VALUE"""),57605.72999999999)</f>
        <v>57605.73</v>
      </c>
      <c r="AC20" s="186">
        <f>IFERROR(__xludf.DUMMYFUNCTION("""COMPUTED_VALUE"""),26787.77)</f>
        <v>26787.77</v>
      </c>
      <c r="AD20" s="17">
        <f>IFERROR(__xludf.DUMMYFUNCTION("""COMPUTED_VALUE"""),84393.49999999999)</f>
        <v>84393.5</v>
      </c>
      <c r="AE20" s="17"/>
      <c r="AF20" s="168"/>
      <c r="AG20" s="17"/>
      <c r="AH20" s="168"/>
      <c r="AI20" s="167"/>
      <c r="AJ20" s="17"/>
      <c r="AK20" s="168"/>
      <c r="AL20" s="169"/>
      <c r="AM20" s="225">
        <f>IFERROR(__xludf.DUMMYFUNCTION("""COMPUTED_VALUE"""),57605.72999999999)</f>
        <v>57605.73</v>
      </c>
      <c r="AN20" s="227"/>
      <c r="AO20" s="17">
        <f>IFERROR(__xludf.DUMMYFUNCTION("""COMPUTED_VALUE"""),26787.77)</f>
        <v>26787.77</v>
      </c>
      <c r="AP20" s="17"/>
      <c r="AQ20" s="168"/>
      <c r="AR20" s="17"/>
      <c r="AS20" s="17"/>
      <c r="AT20" s="17"/>
      <c r="AU20" s="17"/>
      <c r="AV20" s="17"/>
      <c r="AW20" s="17"/>
      <c r="AX20" s="17"/>
      <c r="AY20" s="17"/>
      <c r="AZ20" s="176"/>
      <c r="BA20" s="177"/>
      <c r="BB20" s="173"/>
      <c r="BC20" s="187">
        <f>IFERROR(__xludf.DUMMYFUNCTION("""COMPUTED_VALUE"""),57605.72999999999)</f>
        <v>57605.73</v>
      </c>
      <c r="BD20" s="17"/>
      <c r="BE20" s="17"/>
      <c r="BF20" s="17"/>
      <c r="BG20" s="17"/>
      <c r="BH20" s="17"/>
      <c r="BI20" s="17"/>
      <c r="BJ20" s="17"/>
      <c r="BK20" s="228"/>
      <c r="BL20" s="229">
        <f>IFERROR(__xludf.DUMMYFUNCTION("""COMPUTED_VALUE"""),26787.77)</f>
        <v>26787.77</v>
      </c>
      <c r="BM20" s="181" t="str">
        <f>IFERROR(__xludf.DUMMYFUNCTION("""COMPUTED_VALUE"""),"Approval")</f>
        <v>Approval</v>
      </c>
      <c r="BN20" s="2"/>
      <c r="BO20" s="133"/>
      <c r="BP20" s="133"/>
      <c r="BQ20" s="133"/>
      <c r="BR20" s="133"/>
      <c r="BS20" s="25"/>
    </row>
    <row r="21" hidden="1">
      <c r="A21" s="151" t="str">
        <f>IFERROR(__xludf.DUMMYFUNCTION("""COMPUTED_VALUE"""),"April'26")</f>
        <v>April'26</v>
      </c>
      <c r="B21" s="152" t="str">
        <f>IFERROR(__xludf.DUMMYFUNCTION("""COMPUTED_VALUE"""),"Philips Hue - Retails (Extra Project)")</f>
        <v>Philips Hue - Retails (Extra Project)</v>
      </c>
      <c r="C21" s="190" t="str">
        <f>IFERROR(__xludf.DUMMYFUNCTION("""COMPUTED_VALUE"""),"5783 Signify Commercial (Thailand) Limited")</f>
        <v>5783 Signify Commercial (Thailand) Limited</v>
      </c>
      <c r="D21" s="219" t="str">
        <f>IFERROR(__xludf.DUMMYFUNCTION("""COMPUTED_VALUE"""),"-")</f>
        <v>-</v>
      </c>
      <c r="E21" s="189" t="str">
        <f>IFERROR(__xludf.DUMMYFUNCTION("""COMPUTED_VALUE"""),"Un")</f>
        <v>Un</v>
      </c>
      <c r="F21" s="156" t="str">
        <f>IFERROR(__xludf.DUMMYFUNCTION("""COMPUTED_VALUE"""),"Korn")</f>
        <v>Korn</v>
      </c>
      <c r="G21" s="220" t="str">
        <f>IFERROR(__xludf.DUMMYFUNCTION("""COMPUTED_VALUE"""),"JJ")</f>
        <v>JJ</v>
      </c>
      <c r="H21" s="4">
        <f>IFERROR(__xludf.DUMMYFUNCTION("""COMPUTED_VALUE"""),0.13)</f>
        <v>0.13</v>
      </c>
      <c r="I21" s="4"/>
      <c r="J21" s="4"/>
      <c r="K21" s="197"/>
      <c r="L21" s="4"/>
      <c r="M21" s="222"/>
      <c r="N21" s="196"/>
      <c r="O21" s="185"/>
      <c r="P21" s="171">
        <f>IFERROR(__xludf.DUMMYFUNCTION("""COMPUTED_VALUE"""),28555.732799999998)</f>
        <v>28555.7328</v>
      </c>
      <c r="Q21" s="186">
        <f>IFERROR(__xludf.DUMMYFUNCTION("""COMPUTED_VALUE"""),1998.901296)</f>
        <v>1998.901296</v>
      </c>
      <c r="R21" s="171">
        <f>IFERROR(__xludf.DUMMYFUNCTION("""COMPUTED_VALUE"""),30554.634095999998)</f>
        <v>30554.6341</v>
      </c>
      <c r="S21" s="171">
        <f>IFERROR(__xludf.DUMMYFUNCTION("""COMPUTED_VALUE"""),0.0)</f>
        <v>0</v>
      </c>
      <c r="T21" s="171">
        <f>IFERROR(__xludf.DUMMYFUNCTION("""COMPUTED_VALUE"""),0.0)</f>
        <v>0</v>
      </c>
      <c r="U21" s="171">
        <f>IFERROR(__xludf.DUMMYFUNCTION("""COMPUTED_VALUE"""),0.0)</f>
        <v>0</v>
      </c>
      <c r="V21" s="171">
        <f>IFERROR(__xludf.DUMMYFUNCTION("""COMPUTED_VALUE"""),0.0)</f>
        <v>0</v>
      </c>
      <c r="W21" s="171">
        <f>IFERROR(__xludf.DUMMYFUNCTION("""COMPUTED_VALUE"""),25270.559999999998)</f>
        <v>25270.56</v>
      </c>
      <c r="X21" s="165">
        <f>IFERROR(__xludf.DUMMYFUNCTION("""COMPUTED_VALUE"""),3285.1728)</f>
        <v>3285.1728</v>
      </c>
      <c r="Y21" s="165">
        <f>IFERROR(__xludf.DUMMYFUNCTION("""COMPUTED_VALUE"""),0.0)</f>
        <v>0</v>
      </c>
      <c r="Z21" s="165">
        <f>IFERROR(__xludf.DUMMYFUNCTION("""COMPUTED_VALUE"""),0.0)</f>
        <v>0</v>
      </c>
      <c r="AA21" s="165">
        <f>IFERROR(__xludf.DUMMYFUNCTION("""COMPUTED_VALUE"""),0.0)</f>
        <v>0</v>
      </c>
      <c r="AB21" s="165">
        <f>IFERROR(__xludf.DUMMYFUNCTION("""COMPUTED_VALUE"""),25270.559999999998)</f>
        <v>25270.56</v>
      </c>
      <c r="AC21" s="186">
        <f>IFERROR(__xludf.DUMMYFUNCTION("""COMPUTED_VALUE"""),0.0)</f>
        <v>0</v>
      </c>
      <c r="AD21" s="167">
        <f>IFERROR(__xludf.DUMMYFUNCTION("""COMPUTED_VALUE"""),25270.559999999998)</f>
        <v>25270.56</v>
      </c>
      <c r="AE21" s="17"/>
      <c r="AF21" s="168"/>
      <c r="AG21" s="167"/>
      <c r="AH21" s="168"/>
      <c r="AI21" s="167"/>
      <c r="AJ21" s="230"/>
      <c r="AK21" s="231"/>
      <c r="AL21" s="185"/>
      <c r="AM21" s="17">
        <f>IFERROR(__xludf.DUMMYFUNCTION("""COMPUTED_VALUE"""),25270.559999999998)</f>
        <v>25270.56</v>
      </c>
      <c r="AN21" s="168"/>
      <c r="AO21" s="17"/>
      <c r="AP21" s="17"/>
      <c r="AQ21" s="168"/>
      <c r="AR21" s="17"/>
      <c r="AS21" s="17"/>
      <c r="AT21" s="17"/>
      <c r="AU21" s="17"/>
      <c r="AV21" s="17"/>
      <c r="AW21" s="17"/>
      <c r="AX21" s="17"/>
      <c r="AY21" s="17"/>
      <c r="AZ21" s="176"/>
      <c r="BA21" s="173"/>
      <c r="BB21" s="173">
        <f>IFERROR(__xludf.DUMMYFUNCTION("""COMPUTED_VALUE"""),9997.689999999999)</f>
        <v>9997.69</v>
      </c>
      <c r="BC21" s="187">
        <f>IFERROR(__xludf.DUMMYFUNCTION("""COMPUTED_VALUE"""),15272.87)</f>
        <v>15272.87</v>
      </c>
      <c r="BD21" s="17"/>
      <c r="BE21" s="17"/>
      <c r="BF21" s="17"/>
      <c r="BG21" s="17"/>
      <c r="BH21" s="17"/>
      <c r="BI21" s="17"/>
      <c r="BJ21" s="17"/>
      <c r="BK21" s="17"/>
      <c r="BL21" s="179"/>
      <c r="BM21" s="180" t="str">
        <f>IFERROR(__xludf.DUMMYFUNCTION("""COMPUTED_VALUE"""),"Approval")</f>
        <v>Approval</v>
      </c>
      <c r="BN21" s="181">
        <f>IFERROR(__xludf.DUMMYFUNCTION("""COMPUTED_VALUE"""),46147.63593284722)</f>
        <v>46147.63593</v>
      </c>
      <c r="BO21" s="133"/>
      <c r="BP21" s="133"/>
      <c r="BQ21" s="133"/>
      <c r="BR21" s="133"/>
      <c r="BS21" s="25"/>
    </row>
    <row r="22" hidden="1">
      <c r="A22" s="151" t="str">
        <f>IFERROR(__xludf.DUMMYFUNCTION("""COMPUTED_VALUE"""),"April'26")</f>
        <v>April'26</v>
      </c>
      <c r="B22" s="188" t="str">
        <f>IFERROR(__xludf.DUMMYFUNCTION("""COMPUTED_VALUE"""),"Obagi TH")</f>
        <v>Obagi TH</v>
      </c>
      <c r="C22" s="190" t="str">
        <f>IFERROR(__xludf.DUMMYFUNCTION("""COMPUTED_VALUE"""),"5946 WALDENCAST (THAILAND) CO., LTD.")</f>
        <v>5946 WALDENCAST (THAILAND) CO., LTD.</v>
      </c>
      <c r="D22" s="219" t="str">
        <f>IFERROR(__xludf.DUMMYFUNCTION("""COMPUTED_VALUE"""),"Store GMV")</f>
        <v>Store GMV</v>
      </c>
      <c r="E22" s="189" t="str">
        <f>IFERROR(__xludf.DUMMYFUNCTION("""COMPUTED_VALUE"""),"Fifa")</f>
        <v>Fifa</v>
      </c>
      <c r="F22" s="156" t="str">
        <f>IFERROR(__xludf.DUMMYFUNCTION("""COMPUTED_VALUE"""),"P'Bee")</f>
        <v>P'Bee</v>
      </c>
      <c r="G22" s="157" t="str">
        <f>IFERROR(__xludf.DUMMYFUNCTION("""COMPUTED_VALUE"""),"JJ")</f>
        <v>JJ</v>
      </c>
      <c r="H22" s="157">
        <f>IFERROR(__xludf.DUMMYFUNCTION("""COMPUTED_VALUE"""),0.13)</f>
        <v>0.13</v>
      </c>
      <c r="I22" s="157">
        <f>IFERROR(__xludf.DUMMYFUNCTION("""COMPUTED_VALUE"""),0.0)</f>
        <v>0</v>
      </c>
      <c r="J22" s="157">
        <f>IFERROR(__xludf.DUMMYFUNCTION("""COMPUTED_VALUE"""),0.0)</f>
        <v>0</v>
      </c>
      <c r="K22" s="158">
        <f>IFERROR(__xludf.DUMMYFUNCTION("""COMPUTED_VALUE"""),0.0)</f>
        <v>0</v>
      </c>
      <c r="L22" s="159">
        <f>IFERROR(__xludf.DUMMYFUNCTION("""COMPUTED_VALUE"""),0.0)</f>
        <v>0</v>
      </c>
      <c r="M22" s="3">
        <f>IFERROR(__xludf.DUMMYFUNCTION("""COMPUTED_VALUE"""),45000.0)</f>
        <v>45000</v>
      </c>
      <c r="N22" s="196"/>
      <c r="O22" s="185"/>
      <c r="P22" s="171">
        <f>IFERROR(__xludf.DUMMYFUNCTION("""COMPUTED_VALUE"""),0.0)</f>
        <v>0</v>
      </c>
      <c r="Q22" s="186">
        <f>IFERROR(__xludf.DUMMYFUNCTION("""COMPUTED_VALUE"""),0.0)</f>
        <v>0</v>
      </c>
      <c r="R22" s="171">
        <f>IFERROR(__xludf.DUMMYFUNCTION("""COMPUTED_VALUE"""),0.0)</f>
        <v>0</v>
      </c>
      <c r="S22" s="171">
        <f>IFERROR(__xludf.DUMMYFUNCTION("""COMPUTED_VALUE"""),0.0)</f>
        <v>0</v>
      </c>
      <c r="T22" s="171">
        <f>IFERROR(__xludf.DUMMYFUNCTION("""COMPUTED_VALUE"""),0.0)</f>
        <v>0</v>
      </c>
      <c r="U22" s="171">
        <f>IFERROR(__xludf.DUMMYFUNCTION("""COMPUTED_VALUE"""),0.0)</f>
        <v>0</v>
      </c>
      <c r="V22" s="164">
        <f>IFERROR(__xludf.DUMMYFUNCTION("""COMPUTED_VALUE"""),0.0)</f>
        <v>0</v>
      </c>
      <c r="W22" s="164">
        <f>IFERROR(__xludf.DUMMYFUNCTION("""COMPUTED_VALUE"""),0.0)</f>
        <v>0</v>
      </c>
      <c r="X22" s="165" t="str">
        <f>IFERROR(__xludf.DUMMYFUNCTION("""COMPUTED_VALUE"""),"0")</f>
        <v>0</v>
      </c>
      <c r="Y22" s="165">
        <f>IFERROR(__xludf.DUMMYFUNCTION("""COMPUTED_VALUE"""),0.0)</f>
        <v>0</v>
      </c>
      <c r="Z22" s="165">
        <f>IFERROR(__xludf.DUMMYFUNCTION("""COMPUTED_VALUE"""),0.0)</f>
        <v>0</v>
      </c>
      <c r="AA22" s="165">
        <f>IFERROR(__xludf.DUMMYFUNCTION("""COMPUTED_VALUE"""),0.0)</f>
        <v>0</v>
      </c>
      <c r="AB22" s="165">
        <f>IFERROR(__xludf.DUMMYFUNCTION("""COMPUTED_VALUE"""),0.0)</f>
        <v>0</v>
      </c>
      <c r="AC22" s="166">
        <f>IFERROR(__xludf.DUMMYFUNCTION("""COMPUTED_VALUE"""),0.0)</f>
        <v>0</v>
      </c>
      <c r="AD22" s="167">
        <f>IFERROR(__xludf.DUMMYFUNCTION("""COMPUTED_VALUE"""),0.0)</f>
        <v>0</v>
      </c>
      <c r="AE22" s="17"/>
      <c r="AF22" s="168"/>
      <c r="AG22" s="160"/>
      <c r="AH22" s="168"/>
      <c r="AI22" s="160"/>
      <c r="AJ22" s="2"/>
      <c r="AK22" s="232"/>
      <c r="AL22" s="185"/>
      <c r="AM22" s="171">
        <f>IFERROR(__xludf.DUMMYFUNCTION("""COMPUTED_VALUE"""),0.0)</f>
        <v>0</v>
      </c>
      <c r="AN22" s="168">
        <f>IFERROR(__xludf.DUMMYFUNCTION("""COMPUTED_VALUE"""),0.0)</f>
        <v>0</v>
      </c>
      <c r="AO22" s="133"/>
      <c r="AP22" s="133"/>
      <c r="AQ22" s="198"/>
      <c r="AR22" s="171"/>
      <c r="AS22" s="171">
        <f>IFERROR(__xludf.DUMMYFUNCTION("""COMPUTED_VALUE"""),0.0)</f>
        <v>0</v>
      </c>
      <c r="AT22" s="17">
        <f>IFERROR(__xludf.DUMMYFUNCTION("""COMPUTED_VALUE"""),0.0)</f>
        <v>0</v>
      </c>
      <c r="AU22" s="171"/>
      <c r="AV22" s="171">
        <f>IFERROR(__xludf.DUMMYFUNCTION("""COMPUTED_VALUE"""),0.0)</f>
        <v>0</v>
      </c>
      <c r="AW22" s="171">
        <f>IFERROR(__xludf.DUMMYFUNCTION("""COMPUTED_VALUE"""),0.0)</f>
        <v>0</v>
      </c>
      <c r="AX22" s="171">
        <f>IFERROR(__xludf.DUMMYFUNCTION("""COMPUTED_VALUE"""),0.0)</f>
        <v>0</v>
      </c>
      <c r="AY22" s="17">
        <f>IFERROR(__xludf.DUMMYFUNCTION("""COMPUTED_VALUE"""),0.0)</f>
        <v>0</v>
      </c>
      <c r="AZ22" s="176"/>
      <c r="BA22" s="233"/>
      <c r="BB22" s="171">
        <f>IFERROR(__xludf.DUMMYFUNCTION("""COMPUTED_VALUE"""),0.0)</f>
        <v>0</v>
      </c>
      <c r="BC22" s="187">
        <f>IFERROR(__xludf.DUMMYFUNCTION("""COMPUTED_VALUE"""),0.0)</f>
        <v>0</v>
      </c>
      <c r="BD22" s="17"/>
      <c r="BE22" s="17"/>
      <c r="BF22" s="17"/>
      <c r="BG22" s="17"/>
      <c r="BH22" s="17"/>
      <c r="BI22" s="17"/>
      <c r="BJ22" s="17"/>
      <c r="BK22" s="17"/>
      <c r="BL22" s="195"/>
      <c r="BM22" s="181"/>
      <c r="BN22" s="181" t="str">
        <f>IFERROR(__xludf.DUMMYFUNCTION("""COMPUTED_VALUE"""),"")</f>
        <v/>
      </c>
      <c r="BO22" s="133"/>
      <c r="BP22" s="133"/>
      <c r="BQ22" s="133"/>
      <c r="BR22" s="133"/>
      <c r="BS22" s="25"/>
    </row>
    <row r="23" hidden="1">
      <c r="A23" s="151" t="str">
        <f>IFERROR(__xludf.DUMMYFUNCTION("""COMPUTED_VALUE"""),"April'26")</f>
        <v>April'26</v>
      </c>
      <c r="B23" s="188" t="str">
        <f>IFERROR(__xludf.DUMMYFUNCTION("""COMPUTED_VALUE"""),"JNJ - Retail (TikTok)")</f>
        <v>JNJ - Retail (TikTok)</v>
      </c>
      <c r="C23" s="234" t="str">
        <f>IFERROR(__xludf.DUMMYFUNCTION("""COMPUTED_VALUE"""),"5497 Johnson &amp; Johnson Consumer (Thailand) Limited")</f>
        <v>5497 Johnson &amp; Johnson Consumer (Thailand) Limited</v>
      </c>
      <c r="D23" s="191"/>
      <c r="E23" s="189" t="str">
        <f>IFERROR(__xludf.DUMMYFUNCTION("""COMPUTED_VALUE"""),"Amy")</f>
        <v>Amy</v>
      </c>
      <c r="F23" s="156" t="str">
        <f>IFERROR(__xludf.DUMMYFUNCTION("""COMPUTED_VALUE"""),"Mew")</f>
        <v>Mew</v>
      </c>
      <c r="G23" s="157" t="str">
        <f>IFERROR(__xludf.DUMMYFUNCTION("""COMPUTED_VALUE"""),"JJ")</f>
        <v>JJ</v>
      </c>
      <c r="H23" s="157">
        <f>IFERROR(__xludf.DUMMYFUNCTION("""COMPUTED_VALUE"""),0.0)</f>
        <v>0</v>
      </c>
      <c r="I23" s="157">
        <f>IFERROR(__xludf.DUMMYFUNCTION("""COMPUTED_VALUE"""),0.0)</f>
        <v>0</v>
      </c>
      <c r="J23" s="157">
        <f>IFERROR(__xludf.DUMMYFUNCTION("""COMPUTED_VALUE"""),0.0)</f>
        <v>0</v>
      </c>
      <c r="K23" s="158">
        <f>IFERROR(__xludf.DUMMYFUNCTION("""COMPUTED_VALUE"""),0.0)</f>
        <v>0</v>
      </c>
      <c r="L23" s="159">
        <f>IFERROR(__xludf.DUMMYFUNCTION("""COMPUTED_VALUE"""),0.0)</f>
        <v>0</v>
      </c>
      <c r="M23" s="3">
        <f>IFERROR(__xludf.DUMMYFUNCTION("""COMPUTED_VALUE"""),35000.0)</f>
        <v>35000</v>
      </c>
      <c r="N23" s="196"/>
      <c r="O23" s="185"/>
      <c r="P23" s="164">
        <f>IFERROR(__xludf.DUMMYFUNCTION("""COMPUTED_VALUE"""),664593.44)</f>
        <v>664593.44</v>
      </c>
      <c r="Q23" s="166">
        <f>IFERROR(__xludf.DUMMYFUNCTION("""COMPUTED_VALUE"""),46521.5408)</f>
        <v>46521.5408</v>
      </c>
      <c r="R23" s="164">
        <f>IFERROR(__xludf.DUMMYFUNCTION("""COMPUTED_VALUE"""),711114.9807999999)</f>
        <v>711114.9808</v>
      </c>
      <c r="S23" s="164">
        <f>IFERROR(__xludf.DUMMYFUNCTION("""COMPUTED_VALUE"""),0.0)</f>
        <v>0</v>
      </c>
      <c r="T23" s="164">
        <f>IFERROR(__xludf.DUMMYFUNCTION("""COMPUTED_VALUE"""),0.0)</f>
        <v>0</v>
      </c>
      <c r="U23" s="164">
        <f>IFERROR(__xludf.DUMMYFUNCTION("""COMPUTED_VALUE"""),0.0)</f>
        <v>0</v>
      </c>
      <c r="V23" s="164">
        <f>IFERROR(__xludf.DUMMYFUNCTION("""COMPUTED_VALUE"""),0.0)</f>
        <v>0</v>
      </c>
      <c r="W23" s="164">
        <f>IFERROR(__xludf.DUMMYFUNCTION("""COMPUTED_VALUE"""),629593.44)</f>
        <v>629593.44</v>
      </c>
      <c r="X23" s="165">
        <f>IFERROR(__xludf.DUMMYFUNCTION("""COMPUTED_VALUE"""),35000.0)</f>
        <v>35000</v>
      </c>
      <c r="Y23" s="165">
        <f>IFERROR(__xludf.DUMMYFUNCTION("""COMPUTED_VALUE"""),0.0)</f>
        <v>0</v>
      </c>
      <c r="Z23" s="165">
        <f>IFERROR(__xludf.DUMMYFUNCTION("""COMPUTED_VALUE"""),0.0)</f>
        <v>0</v>
      </c>
      <c r="AA23" s="165">
        <f>IFERROR(__xludf.DUMMYFUNCTION("""COMPUTED_VALUE"""),633986.4099999999)</f>
        <v>633986.41</v>
      </c>
      <c r="AB23" s="165">
        <f>IFERROR(__xludf.DUMMYFUNCTION("""COMPUTED_VALUE"""),0.0)</f>
        <v>0</v>
      </c>
      <c r="AC23" s="166">
        <f>IFERROR(__xludf.DUMMYFUNCTION("""COMPUTED_VALUE"""),0.0)</f>
        <v>0</v>
      </c>
      <c r="AD23" s="167">
        <f>IFERROR(__xludf.DUMMYFUNCTION("""COMPUTED_VALUE"""),633986.4099999999)</f>
        <v>633986.41</v>
      </c>
      <c r="AE23" s="17"/>
      <c r="AF23" s="168"/>
      <c r="AG23" s="167"/>
      <c r="AH23" s="168"/>
      <c r="AI23" s="167"/>
      <c r="AJ23" s="17"/>
      <c r="AK23" s="168"/>
      <c r="AL23" s="185"/>
      <c r="AM23" s="171">
        <f>IFERROR(__xludf.DUMMYFUNCTION("""COMPUTED_VALUE"""),0.0)</f>
        <v>0</v>
      </c>
      <c r="AN23" s="168">
        <f>IFERROR(__xludf.DUMMYFUNCTION("""COMPUTED_VALUE"""),629593.44)</f>
        <v>629593.44</v>
      </c>
      <c r="AO23" s="17"/>
      <c r="AP23" s="17"/>
      <c r="AQ23" s="168"/>
      <c r="AR23" s="17"/>
      <c r="AS23" s="17"/>
      <c r="AT23" s="17"/>
      <c r="AU23" s="17"/>
      <c r="AV23" s="17"/>
      <c r="AW23" s="17"/>
      <c r="AX23" s="17"/>
      <c r="AY23" s="17"/>
      <c r="AZ23" s="176"/>
      <c r="BA23" s="177"/>
      <c r="BB23" s="17"/>
      <c r="BC23" s="187"/>
      <c r="BD23" s="17"/>
      <c r="BE23" s="17"/>
      <c r="BF23" s="173"/>
      <c r="BG23" s="17">
        <f>IFERROR(__xludf.DUMMYFUNCTION("""COMPUTED_VALUE"""),629593.44)</f>
        <v>629593.44</v>
      </c>
      <c r="BH23" s="173"/>
      <c r="BI23" s="17">
        <f>IFERROR(__xludf.DUMMYFUNCTION("""COMPUTED_VALUE"""),4392.97)</f>
        <v>4392.97</v>
      </c>
      <c r="BJ23" s="17"/>
      <c r="BK23" s="17"/>
      <c r="BL23" s="195"/>
      <c r="BM23" s="181"/>
      <c r="BN23" s="133" t="str">
        <f>IFERROR(__xludf.DUMMYFUNCTION("""COMPUTED_VALUE"""),"")</f>
        <v/>
      </c>
      <c r="BO23" s="133"/>
      <c r="BP23" s="133"/>
      <c r="BQ23" s="133"/>
      <c r="BR23" s="133"/>
      <c r="BS23" s="25"/>
    </row>
    <row r="24" hidden="1">
      <c r="A24" s="179"/>
      <c r="B24" s="188" t="str">
        <f>IFERROR(__xludf.DUMMYFUNCTION("""COMPUTED_VALUE"""),"JNJ - Retail (SHP &amp; LZD)")</f>
        <v>JNJ - Retail (SHP &amp; LZD)</v>
      </c>
      <c r="C24" s="234" t="str">
        <f>IFERROR(__xludf.DUMMYFUNCTION("""COMPUTED_VALUE"""),"5497 Johnson &amp; Johnson Consumer (Thailand) Limited")</f>
        <v>5497 Johnson &amp; Johnson Consumer (Thailand) Limited</v>
      </c>
      <c r="D24" s="191"/>
      <c r="E24" s="189" t="str">
        <f>IFERROR(__xludf.DUMMYFUNCTION("""COMPUTED_VALUE"""),"Amy")</f>
        <v>Amy</v>
      </c>
      <c r="F24" s="156" t="str">
        <f>IFERROR(__xludf.DUMMYFUNCTION("""COMPUTED_VALUE"""),"Mew")</f>
        <v>Mew</v>
      </c>
      <c r="G24" s="235" t="str">
        <f>IFERROR(__xludf.DUMMYFUNCTION("""COMPUTED_VALUE"""),"JJ")</f>
        <v>JJ</v>
      </c>
      <c r="H24" s="157">
        <f>IFERROR(__xludf.DUMMYFUNCTION("""COMPUTED_VALUE"""),0.075)</f>
        <v>0.075</v>
      </c>
      <c r="I24" s="157">
        <f>IFERROR(__xludf.DUMMYFUNCTION("""COMPUTED_VALUE"""),0.0)</f>
        <v>0</v>
      </c>
      <c r="J24" s="157">
        <f>IFERROR(__xludf.DUMMYFUNCTION("""COMPUTED_VALUE"""),0.0)</f>
        <v>0</v>
      </c>
      <c r="K24" s="158">
        <f>IFERROR(__xludf.DUMMYFUNCTION("""COMPUTED_VALUE"""),0.0)</f>
        <v>0</v>
      </c>
      <c r="L24" s="159">
        <f>IFERROR(__xludf.DUMMYFUNCTION("""COMPUTED_VALUE"""),0.0)</f>
        <v>0</v>
      </c>
      <c r="M24" s="3">
        <f>IFERROR(__xludf.DUMMYFUNCTION("""COMPUTED_VALUE"""),50000.0)</f>
        <v>50000</v>
      </c>
      <c r="N24" s="196"/>
      <c r="O24" s="185"/>
      <c r="P24" s="164">
        <f>IFERROR(__xludf.DUMMYFUNCTION("""COMPUTED_VALUE"""),56411.11125)</f>
        <v>56411.11125</v>
      </c>
      <c r="Q24" s="166">
        <f>IFERROR(__xludf.DUMMYFUNCTION("""COMPUTED_VALUE"""),3948.7777875000006)</f>
        <v>3948.777788</v>
      </c>
      <c r="R24" s="164">
        <f>IFERROR(__xludf.DUMMYFUNCTION("""COMPUTED_VALUE"""),60359.889037500005)</f>
        <v>60359.88904</v>
      </c>
      <c r="S24" s="164">
        <f>IFERROR(__xludf.DUMMYFUNCTION("""COMPUTED_VALUE"""),0.0)</f>
        <v>0</v>
      </c>
      <c r="T24" s="164">
        <f>IFERROR(__xludf.DUMMYFUNCTION("""COMPUTED_VALUE"""),0.0)</f>
        <v>0</v>
      </c>
      <c r="U24" s="164">
        <f>IFERROR(__xludf.DUMMYFUNCTION("""COMPUTED_VALUE"""),0.0)</f>
        <v>0</v>
      </c>
      <c r="V24" s="164">
        <f>IFERROR(__xludf.DUMMYFUNCTION("""COMPUTED_VALUE"""),0.0)</f>
        <v>0</v>
      </c>
      <c r="W24" s="164">
        <f>IFERROR(__xludf.DUMMYFUNCTION("""COMPUTED_VALUE"""),0.0)</f>
        <v>0</v>
      </c>
      <c r="X24" s="165">
        <f>IFERROR(__xludf.DUMMYFUNCTION("""COMPUTED_VALUE"""),56411.11125)</f>
        <v>56411.11125</v>
      </c>
      <c r="Y24" s="165">
        <f>IFERROR(__xludf.DUMMYFUNCTION("""COMPUTED_VALUE"""),590253.55)</f>
        <v>590253.55</v>
      </c>
      <c r="Z24" s="165">
        <f>IFERROR(__xludf.DUMMYFUNCTION("""COMPUTED_VALUE"""),161894.6)</f>
        <v>161894.6</v>
      </c>
      <c r="AA24" s="165">
        <f>IFERROR(__xludf.DUMMYFUNCTION("""COMPUTED_VALUE"""),0.0)</f>
        <v>0</v>
      </c>
      <c r="AB24" s="165">
        <f>IFERROR(__xludf.DUMMYFUNCTION("""COMPUTED_VALUE"""),0.0)</f>
        <v>0</v>
      </c>
      <c r="AC24" s="166">
        <f>IFERROR(__xludf.DUMMYFUNCTION("""COMPUTED_VALUE"""),0.0)</f>
        <v>0</v>
      </c>
      <c r="AD24" s="167">
        <f>IFERROR(__xludf.DUMMYFUNCTION("""COMPUTED_VALUE"""),752148.15)</f>
        <v>752148.15</v>
      </c>
      <c r="AE24" s="17"/>
      <c r="AF24" s="168"/>
      <c r="AG24" s="167"/>
      <c r="AH24" s="168"/>
      <c r="AI24" s="167"/>
      <c r="AJ24" s="17"/>
      <c r="AK24" s="168"/>
      <c r="AL24" s="167"/>
      <c r="AM24" s="17"/>
      <c r="AN24" s="168"/>
      <c r="AO24" s="17"/>
      <c r="AP24" s="17"/>
      <c r="AQ24" s="168"/>
      <c r="AR24" s="178"/>
      <c r="AS24" s="173">
        <f>IFERROR(__xludf.DUMMYFUNCTION("""COMPUTED_VALUE"""),0.0)</f>
        <v>0</v>
      </c>
      <c r="AT24" s="17">
        <f>IFERROR(__xludf.DUMMYFUNCTION("""COMPUTED_VALUE"""),590253.55)</f>
        <v>590253.55</v>
      </c>
      <c r="AU24" s="17"/>
      <c r="AV24" s="173"/>
      <c r="AW24" s="173">
        <f>IFERROR(__xludf.DUMMYFUNCTION("""COMPUTED_VALUE"""),37286.87)</f>
        <v>37286.87</v>
      </c>
      <c r="AX24" s="17">
        <f>IFERROR(__xludf.DUMMYFUNCTION("""COMPUTED_VALUE"""),124607.73)</f>
        <v>124607.73</v>
      </c>
      <c r="AY24" s="17"/>
      <c r="AZ24" s="176"/>
      <c r="BA24" s="177"/>
      <c r="BB24" s="17"/>
      <c r="BC24" s="187"/>
      <c r="BD24" s="17"/>
      <c r="BE24" s="17"/>
      <c r="BF24" s="17"/>
      <c r="BG24" s="17"/>
      <c r="BH24" s="17"/>
      <c r="BI24" s="17"/>
      <c r="BJ24" s="17"/>
      <c r="BK24" s="17"/>
      <c r="BL24" s="151"/>
      <c r="BM24" s="180" t="str">
        <f>IFERROR(__xludf.DUMMYFUNCTION("""COMPUTED_VALUE"""),"Approval")</f>
        <v>Approval</v>
      </c>
      <c r="BN24" s="133">
        <f>IFERROR(__xludf.DUMMYFUNCTION("""COMPUTED_VALUE"""),46146.96058297454)</f>
        <v>46146.96058</v>
      </c>
      <c r="BO24" s="133"/>
      <c r="BP24" s="133"/>
      <c r="BQ24" s="133"/>
      <c r="BR24" s="133"/>
      <c r="BS24" s="25"/>
    </row>
    <row r="25" hidden="1">
      <c r="A25" s="151" t="str">
        <f>IFERROR(__xludf.DUMMYFUNCTION("""COMPUTED_VALUE"""),"April'26")</f>
        <v>April'26</v>
      </c>
      <c r="B25" s="188" t="str">
        <f>IFERROR(__xludf.DUMMYFUNCTION("""COMPUTED_VALUE"""),"Neutrogena - Retail (TikTok)")</f>
        <v>Neutrogena - Retail (TikTok)</v>
      </c>
      <c r="C25" s="234" t="str">
        <f>IFERROR(__xludf.DUMMYFUNCTION("""COMPUTED_VALUE"""),"5497 Johnson &amp; Johnson Consumer (Thailand) Limited")</f>
        <v>5497 Johnson &amp; Johnson Consumer (Thailand) Limited</v>
      </c>
      <c r="D25" s="191"/>
      <c r="E25" s="189" t="str">
        <f>IFERROR(__xludf.DUMMYFUNCTION("""COMPUTED_VALUE"""),"Amy")</f>
        <v>Amy</v>
      </c>
      <c r="F25" s="156" t="str">
        <f>IFERROR(__xludf.DUMMYFUNCTION("""COMPUTED_VALUE"""),"Mew")</f>
        <v>Mew</v>
      </c>
      <c r="G25" s="157" t="str">
        <f>IFERROR(__xludf.DUMMYFUNCTION("""COMPUTED_VALUE"""),"JJ")</f>
        <v>JJ</v>
      </c>
      <c r="H25" s="157">
        <f>IFERROR(__xludf.DUMMYFUNCTION("""COMPUTED_VALUE"""),0.0)</f>
        <v>0</v>
      </c>
      <c r="I25" s="157">
        <f>IFERROR(__xludf.DUMMYFUNCTION("""COMPUTED_VALUE"""),0.0)</f>
        <v>0</v>
      </c>
      <c r="J25" s="157">
        <f>IFERROR(__xludf.DUMMYFUNCTION("""COMPUTED_VALUE"""),0.0)</f>
        <v>0</v>
      </c>
      <c r="K25" s="158">
        <f>IFERROR(__xludf.DUMMYFUNCTION("""COMPUTED_VALUE"""),0.0)</f>
        <v>0</v>
      </c>
      <c r="L25" s="159">
        <f>IFERROR(__xludf.DUMMYFUNCTION("""COMPUTED_VALUE"""),0.0)</f>
        <v>0</v>
      </c>
      <c r="M25" s="3">
        <f>IFERROR(__xludf.DUMMYFUNCTION("""COMPUTED_VALUE"""),35000.0)</f>
        <v>35000</v>
      </c>
      <c r="N25" s="196"/>
      <c r="O25" s="185"/>
      <c r="P25" s="164">
        <f>IFERROR(__xludf.DUMMYFUNCTION("""COMPUTED_VALUE"""),240727.02000000002)</f>
        <v>240727.02</v>
      </c>
      <c r="Q25" s="166">
        <f>IFERROR(__xludf.DUMMYFUNCTION("""COMPUTED_VALUE"""),16850.891400000004)</f>
        <v>16850.8914</v>
      </c>
      <c r="R25" s="164">
        <f>IFERROR(__xludf.DUMMYFUNCTION("""COMPUTED_VALUE"""),257577.9114)</f>
        <v>257577.9114</v>
      </c>
      <c r="S25" s="164">
        <f>IFERROR(__xludf.DUMMYFUNCTION("""COMPUTED_VALUE"""),0.0)</f>
        <v>0</v>
      </c>
      <c r="T25" s="164">
        <f>IFERROR(__xludf.DUMMYFUNCTION("""COMPUTED_VALUE"""),0.0)</f>
        <v>0</v>
      </c>
      <c r="U25" s="164">
        <f>IFERROR(__xludf.DUMMYFUNCTION("""COMPUTED_VALUE"""),0.0)</f>
        <v>0</v>
      </c>
      <c r="V25" s="164">
        <f>IFERROR(__xludf.DUMMYFUNCTION("""COMPUTED_VALUE"""),0.0)</f>
        <v>0</v>
      </c>
      <c r="W25" s="164">
        <f>IFERROR(__xludf.DUMMYFUNCTION("""COMPUTED_VALUE"""),205727.02000000002)</f>
        <v>205727.02</v>
      </c>
      <c r="X25" s="165">
        <f>IFERROR(__xludf.DUMMYFUNCTION("""COMPUTED_VALUE"""),35000.0)</f>
        <v>35000</v>
      </c>
      <c r="Y25" s="165">
        <f>IFERROR(__xludf.DUMMYFUNCTION("""COMPUTED_VALUE"""),0.0)</f>
        <v>0</v>
      </c>
      <c r="Z25" s="165">
        <f>IFERROR(__xludf.DUMMYFUNCTION("""COMPUTED_VALUE"""),0.0)</f>
        <v>0</v>
      </c>
      <c r="AA25" s="165">
        <f>IFERROR(__xludf.DUMMYFUNCTION("""COMPUTED_VALUE"""),209643.40000000002)</f>
        <v>209643.4</v>
      </c>
      <c r="AB25" s="165">
        <f>IFERROR(__xludf.DUMMYFUNCTION("""COMPUTED_VALUE"""),0.0)</f>
        <v>0</v>
      </c>
      <c r="AC25" s="166">
        <f>IFERROR(__xludf.DUMMYFUNCTION("""COMPUTED_VALUE"""),0.0)</f>
        <v>0</v>
      </c>
      <c r="AD25" s="167">
        <f>IFERROR(__xludf.DUMMYFUNCTION("""COMPUTED_VALUE"""),209643.40000000002)</f>
        <v>209643.4</v>
      </c>
      <c r="AE25" s="17"/>
      <c r="AF25" s="168"/>
      <c r="AG25" s="167"/>
      <c r="AH25" s="168"/>
      <c r="AI25" s="167"/>
      <c r="AJ25" s="17"/>
      <c r="AK25" s="168"/>
      <c r="AL25" s="185"/>
      <c r="AM25" s="171">
        <f>IFERROR(__xludf.DUMMYFUNCTION("""COMPUTED_VALUE"""),0.0)</f>
        <v>0</v>
      </c>
      <c r="AN25" s="168">
        <f>IFERROR(__xludf.DUMMYFUNCTION("""COMPUTED_VALUE"""),205727.02000000002)</f>
        <v>205727.02</v>
      </c>
      <c r="AO25" s="17"/>
      <c r="AP25" s="17"/>
      <c r="AQ25" s="168"/>
      <c r="AR25" s="17"/>
      <c r="AS25" s="17"/>
      <c r="AT25" s="17"/>
      <c r="AU25" s="17"/>
      <c r="AV25" s="17"/>
      <c r="AW25" s="17"/>
      <c r="AX25" s="17"/>
      <c r="AY25" s="17"/>
      <c r="AZ25" s="176"/>
      <c r="BA25" s="177"/>
      <c r="BB25" s="17"/>
      <c r="BC25" s="187"/>
      <c r="BD25" s="17"/>
      <c r="BE25" s="17"/>
      <c r="BF25" s="173"/>
      <c r="BG25" s="17">
        <f>IFERROR(__xludf.DUMMYFUNCTION("""COMPUTED_VALUE"""),205727.02000000002)</f>
        <v>205727.02</v>
      </c>
      <c r="BH25" s="173"/>
      <c r="BI25" s="17">
        <f>IFERROR(__xludf.DUMMYFUNCTION("""COMPUTED_VALUE"""),3916.38)</f>
        <v>3916.38</v>
      </c>
      <c r="BJ25" s="17"/>
      <c r="BK25" s="17"/>
      <c r="BL25" s="160"/>
      <c r="BM25" s="181"/>
      <c r="BN25" s="133" t="str">
        <f>IFERROR(__xludf.DUMMYFUNCTION("""COMPUTED_VALUE"""),"")</f>
        <v/>
      </c>
      <c r="BO25" s="133"/>
      <c r="BP25" s="133"/>
      <c r="BQ25" s="133"/>
      <c r="BR25" s="133"/>
      <c r="BS25" s="25"/>
    </row>
    <row r="26" hidden="1">
      <c r="A26" s="151" t="str">
        <f>IFERROR(__xludf.DUMMYFUNCTION("""COMPUTED_VALUE"""),"April'26")</f>
        <v>April'26</v>
      </c>
      <c r="B26" s="188" t="str">
        <f>IFERROR(__xludf.DUMMYFUNCTION("""COMPUTED_VALUE"""),"Haleon - Retail")</f>
        <v>Haleon - Retail</v>
      </c>
      <c r="C26" s="190" t="str">
        <f>IFERROR(__xludf.DUMMYFUNCTION("""COMPUTED_VALUE"""),"6061 Haleon Consumer Health (Thailand) Limited")</f>
        <v>6061 Haleon Consumer Health (Thailand) Limited</v>
      </c>
      <c r="D26" s="191" t="str">
        <f>IFERROR(__xludf.DUMMYFUNCTION("""COMPUTED_VALUE"""),"JBP")</f>
        <v>JBP</v>
      </c>
      <c r="E26" s="189" t="str">
        <f>IFERROR(__xludf.DUMMYFUNCTION("""COMPUTED_VALUE"""),"Sherbet")</f>
        <v>Sherbet</v>
      </c>
      <c r="F26" s="156" t="str">
        <f>IFERROR(__xludf.DUMMYFUNCTION("""COMPUTED_VALUE"""),"Mook")</f>
        <v>Mook</v>
      </c>
      <c r="G26" s="157" t="str">
        <f>IFERROR(__xludf.DUMMYFUNCTION("""COMPUTED_VALUE"""),"Nat")</f>
        <v>Nat</v>
      </c>
      <c r="H26" s="157">
        <f>IFERROR(__xludf.DUMMYFUNCTION("""COMPUTED_VALUE"""),0.07)</f>
        <v>0.07</v>
      </c>
      <c r="I26" s="157">
        <f>IFERROR(__xludf.DUMMYFUNCTION("""COMPUTED_VALUE"""),0.0)</f>
        <v>0</v>
      </c>
      <c r="J26" s="157">
        <f>IFERROR(__xludf.DUMMYFUNCTION("""COMPUTED_VALUE"""),0.0)</f>
        <v>0</v>
      </c>
      <c r="K26" s="158">
        <f>IFERROR(__xludf.DUMMYFUNCTION("""COMPUTED_VALUE"""),0.0)</f>
        <v>0</v>
      </c>
      <c r="L26" s="159">
        <f>IFERROR(__xludf.DUMMYFUNCTION("""COMPUTED_VALUE"""),0.02)</f>
        <v>0.02</v>
      </c>
      <c r="M26" s="3">
        <f>IFERROR(__xludf.DUMMYFUNCTION("""COMPUTED_VALUE"""),0.0)</f>
        <v>0</v>
      </c>
      <c r="N26" s="196"/>
      <c r="O26" s="185"/>
      <c r="P26" s="164">
        <f>IFERROR(__xludf.DUMMYFUNCTION("""COMPUTED_VALUE"""),5364888.5890999995)</f>
        <v>5364888.589</v>
      </c>
      <c r="Q26" s="166">
        <f>IFERROR(__xludf.DUMMYFUNCTION("""COMPUTED_VALUE"""),375542.201237)</f>
        <v>375542.2012</v>
      </c>
      <c r="R26" s="164">
        <f>IFERROR(__xludf.DUMMYFUNCTION("""COMPUTED_VALUE"""),5740430.790336999)</f>
        <v>5740430.79</v>
      </c>
      <c r="S26" s="164">
        <f>IFERROR(__xludf.DUMMYFUNCTION("""COMPUTED_VALUE"""),0.0)</f>
        <v>0</v>
      </c>
      <c r="T26" s="164">
        <f>IFERROR(__xludf.DUMMYFUNCTION("""COMPUTED_VALUE"""),0.0)</f>
        <v>0</v>
      </c>
      <c r="U26" s="164">
        <f>IFERROR(__xludf.DUMMYFUNCTION("""COMPUTED_VALUE"""),0.0)</f>
        <v>0</v>
      </c>
      <c r="V26" s="164">
        <f>IFERROR(__xludf.DUMMYFUNCTION("""COMPUTED_VALUE"""),1900000.0)</f>
        <v>1900000</v>
      </c>
      <c r="W26" s="164">
        <f>IFERROR(__xludf.DUMMYFUNCTION("""COMPUTED_VALUE"""),3142114.26)</f>
        <v>3142114.26</v>
      </c>
      <c r="X26" s="165">
        <f>IFERROR(__xludf.DUMMYFUNCTION("""COMPUTED_VALUE"""),322774.3291)</f>
        <v>322774.3291</v>
      </c>
      <c r="Y26" s="165">
        <f>IFERROR(__xludf.DUMMYFUNCTION("""COMPUTED_VALUE"""),2880739.71)</f>
        <v>2880739.71</v>
      </c>
      <c r="Z26" s="165">
        <f>IFERROR(__xludf.DUMMYFUNCTION("""COMPUTED_VALUE"""),751323.83)</f>
        <v>751323.83</v>
      </c>
      <c r="AA26" s="165">
        <f>IFERROR(__xludf.DUMMYFUNCTION("""COMPUTED_VALUE"""),1344382.5)</f>
        <v>1344382.5</v>
      </c>
      <c r="AB26" s="165">
        <f>IFERROR(__xludf.DUMMYFUNCTION("""COMPUTED_VALUE"""),0.0)</f>
        <v>0</v>
      </c>
      <c r="AC26" s="166">
        <f>IFERROR(__xludf.DUMMYFUNCTION("""COMPUTED_VALUE"""),0.0)</f>
        <v>0</v>
      </c>
      <c r="AD26" s="167">
        <f>IFERROR(__xludf.DUMMYFUNCTION("""COMPUTED_VALUE"""),4976446.04)</f>
        <v>4976446.04</v>
      </c>
      <c r="AE26" s="17"/>
      <c r="AF26" s="168"/>
      <c r="AG26" s="167"/>
      <c r="AH26" s="168"/>
      <c r="AI26" s="160"/>
      <c r="AJ26" s="133"/>
      <c r="AK26" s="170"/>
      <c r="AL26" s="167">
        <f>IFERROR(__xludf.DUMMYFUNCTION("""COMPUTED_VALUE"""),1900000.0)</f>
        <v>1900000</v>
      </c>
      <c r="AM26" s="178"/>
      <c r="AN26" s="168">
        <f>IFERROR(__xludf.DUMMYFUNCTION("""COMPUTED_VALUE"""),1344382.5)</f>
        <v>1344382.5</v>
      </c>
      <c r="AO26" s="133"/>
      <c r="AP26" s="171"/>
      <c r="AQ26" s="172">
        <f>IFERROR(__xludf.DUMMYFUNCTION("""COMPUTED_VALUE"""),1797731.76)</f>
        <v>1797731.76</v>
      </c>
      <c r="AR26" s="173"/>
      <c r="AS26" s="173">
        <f>IFERROR(__xludf.DUMMYFUNCTION("""COMPUTED_VALUE"""),13360.0)</f>
        <v>13360</v>
      </c>
      <c r="AT26" s="173">
        <f>IFERROR(__xludf.DUMMYFUNCTION("""COMPUTED_VALUE"""),2549872.13)</f>
        <v>2549872.13</v>
      </c>
      <c r="AU26" s="173">
        <f>IFERROR(__xludf.DUMMYFUNCTION("""COMPUTED_VALUE"""),22315.58)</f>
        <v>22315.58</v>
      </c>
      <c r="AV26" s="173">
        <f>IFERROR(__xludf.DUMMYFUNCTION("""COMPUTED_VALUE"""),295192.0)</f>
        <v>295192</v>
      </c>
      <c r="AW26" s="173">
        <f>IFERROR(__xludf.DUMMYFUNCTION("""COMPUTED_VALUE"""),237740.38)</f>
        <v>237740.38</v>
      </c>
      <c r="AX26" s="173">
        <f>IFERROR(__xludf.DUMMYFUNCTION("""COMPUTED_VALUE"""),301378.72)</f>
        <v>301378.72</v>
      </c>
      <c r="AY26" s="17">
        <f>IFERROR(__xludf.DUMMYFUNCTION("""COMPUTED_VALUE"""),212204.73)</f>
        <v>212204.73</v>
      </c>
      <c r="AZ26" s="176"/>
      <c r="BA26" s="177"/>
      <c r="BB26" s="17"/>
      <c r="BC26" s="187"/>
      <c r="BD26" s="17"/>
      <c r="BE26" s="17"/>
      <c r="BF26" s="173"/>
      <c r="BG26" s="17">
        <f>IFERROR(__xludf.DUMMYFUNCTION("""COMPUTED_VALUE"""),1341424.54)</f>
        <v>1341424.54</v>
      </c>
      <c r="BH26" s="173"/>
      <c r="BI26" s="17">
        <f>IFERROR(__xludf.DUMMYFUNCTION("""COMPUTED_VALUE"""),2957.96)</f>
        <v>2957.96</v>
      </c>
      <c r="BJ26" s="17"/>
      <c r="BK26" s="17"/>
      <c r="BL26" s="151"/>
      <c r="BM26" s="180" t="str">
        <f>IFERROR(__xludf.DUMMYFUNCTION("""COMPUTED_VALUE"""),"Approval")</f>
        <v>Approval</v>
      </c>
      <c r="BN26" s="133">
        <f>IFERROR(__xludf.DUMMYFUNCTION("""COMPUTED_VALUE"""),46147.62481515046)</f>
        <v>46147.62482</v>
      </c>
      <c r="BO26" s="133"/>
      <c r="BP26" s="133"/>
      <c r="BQ26" s="133"/>
      <c r="BR26" s="133"/>
      <c r="BS26" s="25"/>
    </row>
    <row r="27" hidden="1">
      <c r="A27" s="151" t="str">
        <f>IFERROR(__xludf.DUMMYFUNCTION("""COMPUTED_VALUE"""),"April'26")</f>
        <v>April'26</v>
      </c>
      <c r="B27" s="152" t="str">
        <f>IFERROR(__xludf.DUMMYFUNCTION("""COMPUTED_VALUE"""),"Levi's TH")</f>
        <v>Levi's TH</v>
      </c>
      <c r="C27" s="190" t="str">
        <f>IFERROR(__xludf.DUMMYFUNCTION("""COMPUTED_VALUE"""),"5785 Levi Strauss (Thailand) Ltd.")</f>
        <v>5785 Levi Strauss (Thailand) Ltd.</v>
      </c>
      <c r="D27" s="154" t="str">
        <f>IFERROR(__xludf.DUMMYFUNCTION("""COMPUTED_VALUE"""),"Paid by brand")</f>
        <v>Paid by brand</v>
      </c>
      <c r="E27" s="219" t="str">
        <f>IFERROR(__xludf.DUMMYFUNCTION("""COMPUTED_VALUE"""),"Ter")</f>
        <v>Ter</v>
      </c>
      <c r="F27" s="156" t="str">
        <f>IFERROR(__xludf.DUMMYFUNCTION("""COMPUTED_VALUE"""),"Yuii")</f>
        <v>Yuii</v>
      </c>
      <c r="G27" s="236" t="str">
        <f>IFERROR(__xludf.DUMMYFUNCTION("""COMPUTED_VALUE"""),"Nat")</f>
        <v>Nat</v>
      </c>
      <c r="H27" s="157">
        <f>IFERROR(__xludf.DUMMYFUNCTION("""COMPUTED_VALUE"""),0.0)</f>
        <v>0</v>
      </c>
      <c r="I27" s="157">
        <f>IFERROR(__xludf.DUMMYFUNCTION("""COMPUTED_VALUE"""),0.09)</f>
        <v>0.09</v>
      </c>
      <c r="J27" s="157">
        <f>IFERROR(__xludf.DUMMYFUNCTION("""COMPUTED_VALUE"""),0.09)</f>
        <v>0.09</v>
      </c>
      <c r="K27" s="158">
        <f>IFERROR(__xludf.DUMMYFUNCTION("""COMPUTED_VALUE"""),0.07)</f>
        <v>0.07</v>
      </c>
      <c r="L27" s="157">
        <f>IFERROR(__xludf.DUMMYFUNCTION("""COMPUTED_VALUE"""),0.0)</f>
        <v>0</v>
      </c>
      <c r="M27" s="3">
        <f>IFERROR(__xludf.DUMMYFUNCTION("""COMPUTED_VALUE"""),0.0)</f>
        <v>0</v>
      </c>
      <c r="N27" s="196"/>
      <c r="O27" s="184"/>
      <c r="P27" s="171">
        <f>IFERROR(__xludf.DUMMYFUNCTION("""COMPUTED_VALUE"""),2409920.5149)</f>
        <v>2409920.515</v>
      </c>
      <c r="Q27" s="186">
        <f>IFERROR(__xludf.DUMMYFUNCTION("""COMPUTED_VALUE"""),168694.436043)</f>
        <v>168694.436</v>
      </c>
      <c r="R27" s="171">
        <f>IFERROR(__xludf.DUMMYFUNCTION("""COMPUTED_VALUE"""),2578614.9509429997)</f>
        <v>2578614.951</v>
      </c>
      <c r="S27" s="171">
        <f>IFERROR(__xludf.DUMMYFUNCTION("""COMPUTED_VALUE"""),0.0)</f>
        <v>0</v>
      </c>
      <c r="T27" s="171">
        <f>IFERROR(__xludf.DUMMYFUNCTION("""COMPUTED_VALUE"""),0.0)</f>
        <v>0</v>
      </c>
      <c r="U27" s="171">
        <f>IFERROR(__xludf.DUMMYFUNCTION("""COMPUTED_VALUE"""),2080006.5099999998)</f>
        <v>2080006.51</v>
      </c>
      <c r="V27" s="164">
        <f>IFERROR(__xludf.DUMMYFUNCTION("""COMPUTED_VALUE"""),0.0)</f>
        <v>0</v>
      </c>
      <c r="W27" s="164">
        <f>IFERROR(__xludf.DUMMYFUNCTION("""COMPUTED_VALUE"""),275688.43)</f>
        <v>275688.43</v>
      </c>
      <c r="X27" s="165">
        <f>IFERROR(__xludf.DUMMYFUNCTION("""COMPUTED_VALUE"""),54225.5749)</f>
        <v>54225.5749</v>
      </c>
      <c r="Y27" s="165">
        <f>IFERROR(__xludf.DUMMYFUNCTION("""COMPUTED_VALUE"""),337676.93)</f>
        <v>337676.93</v>
      </c>
      <c r="Z27" s="165">
        <f>IFERROR(__xludf.DUMMYFUNCTION("""COMPUTED_VALUE"""),194401.68)</f>
        <v>194401.68</v>
      </c>
      <c r="AA27" s="165">
        <f>IFERROR(__xludf.DUMMYFUNCTION("""COMPUTED_VALUE"""),90550.00000000001)</f>
        <v>90550</v>
      </c>
      <c r="AB27" s="165">
        <f>IFERROR(__xludf.DUMMYFUNCTION("""COMPUTED_VALUE"""),87979.69)</f>
        <v>87979.69</v>
      </c>
      <c r="AC27" s="166">
        <f>IFERROR(__xludf.DUMMYFUNCTION("""COMPUTED_VALUE"""),0.0)</f>
        <v>0</v>
      </c>
      <c r="AD27" s="167">
        <f>IFERROR(__xludf.DUMMYFUNCTION("""COMPUTED_VALUE"""),748609.1299999999)</f>
        <v>748609.13</v>
      </c>
      <c r="AE27" s="17"/>
      <c r="AF27" s="168"/>
      <c r="AG27" s="169"/>
      <c r="AH27" s="170">
        <f>IFERROR(__xludf.DUMMYFUNCTION("""COMPUTED_VALUE"""),757530.09)</f>
        <v>757530.09</v>
      </c>
      <c r="AI27" s="196">
        <f>IFERROR(__xludf.DUMMYFUNCTION("""COMPUTED_VALUE"""),1322476.42)</f>
        <v>1322476.42</v>
      </c>
      <c r="AJ27" s="6"/>
      <c r="AK27" s="6"/>
      <c r="AL27" s="185"/>
      <c r="AM27" s="171">
        <f>IFERROR(__xludf.DUMMYFUNCTION("""COMPUTED_VALUE"""),87979.69)</f>
        <v>87979.69</v>
      </c>
      <c r="AN27" s="168">
        <f>IFERROR(__xludf.DUMMYFUNCTION("""COMPUTED_VALUE"""),90404.01000000001)</f>
        <v>90404.01</v>
      </c>
      <c r="AO27" s="171"/>
      <c r="AP27" s="171">
        <f>IFERROR(__xludf.DUMMYFUNCTION("""COMPUTED_VALUE"""),65588.67)</f>
        <v>65588.67</v>
      </c>
      <c r="AQ27" s="170">
        <f>IFERROR(__xludf.DUMMYFUNCTION("""COMPUTED_VALUE"""),31716.06)</f>
        <v>31716.06</v>
      </c>
      <c r="AR27" s="173">
        <f>IFERROR(__xludf.DUMMYFUNCTION("""COMPUTED_VALUE"""),0.0)</f>
        <v>0</v>
      </c>
      <c r="AS27" s="173">
        <f>IFERROR(__xludf.DUMMYFUNCTION("""COMPUTED_VALUE"""),21830.46)</f>
        <v>21830.46</v>
      </c>
      <c r="AT27" s="173">
        <f>IFERROR(__xludf.DUMMYFUNCTION("""COMPUTED_VALUE"""),227552.62)</f>
        <v>227552.62</v>
      </c>
      <c r="AU27" s="173">
        <f>IFERROR(__xludf.DUMMYFUNCTION("""COMPUTED_VALUE"""),2535.75)</f>
        <v>2535.75</v>
      </c>
      <c r="AV27" s="173">
        <f>IFERROR(__xludf.DUMMYFUNCTION("""COMPUTED_VALUE"""),85758.1)</f>
        <v>85758.1</v>
      </c>
      <c r="AW27" s="173">
        <f>IFERROR(__xludf.DUMMYFUNCTION("""COMPUTED_VALUE"""),54260.16)</f>
        <v>54260.16</v>
      </c>
      <c r="AX27" s="173">
        <f>IFERROR(__xludf.DUMMYFUNCTION("""COMPUTED_VALUE"""),95172.45)</f>
        <v>95172.45</v>
      </c>
      <c r="AY27" s="17">
        <f>IFERROR(__xludf.DUMMYFUNCTION("""COMPUTED_VALUE"""),44969.07)</f>
        <v>44969.07</v>
      </c>
      <c r="AZ27" s="176"/>
      <c r="BA27" s="173"/>
      <c r="BB27" s="173">
        <f>IFERROR(__xludf.DUMMYFUNCTION("""COMPUTED_VALUE"""),27994.61)</f>
        <v>27994.61</v>
      </c>
      <c r="BC27" s="187">
        <f>IFERROR(__xludf.DUMMYFUNCTION("""COMPUTED_VALUE"""),59985.08)</f>
        <v>59985.08</v>
      </c>
      <c r="BD27" s="17"/>
      <c r="BE27" s="17"/>
      <c r="BF27" s="173"/>
      <c r="BG27" s="17">
        <f>IFERROR(__xludf.DUMMYFUNCTION("""COMPUTED_VALUE"""),90404.01000000001)</f>
        <v>90404.01</v>
      </c>
      <c r="BH27" s="173"/>
      <c r="BI27" s="173">
        <f>IFERROR(__xludf.DUMMYFUNCTION("""COMPUTED_VALUE"""),145.99)</f>
        <v>145.99</v>
      </c>
      <c r="BJ27" s="17">
        <f>IFERROR(__xludf.DUMMYFUNCTION("""COMPUTED_VALUE"""),38000.83)</f>
        <v>38000.83</v>
      </c>
      <c r="BK27" s="17"/>
      <c r="BL27" s="179"/>
      <c r="BM27" s="180" t="str">
        <f>IFERROR(__xludf.DUMMYFUNCTION("""COMPUTED_VALUE"""),"Approval")</f>
        <v>Approval</v>
      </c>
      <c r="BN27" s="181">
        <f>IFERROR(__xludf.DUMMYFUNCTION("""COMPUTED_VALUE"""),46146.961113275465)</f>
        <v>46146.96111</v>
      </c>
      <c r="BO27" s="2"/>
      <c r="BP27" s="133"/>
      <c r="BQ27" s="133"/>
      <c r="BR27" s="133"/>
      <c r="BS27" s="25"/>
    </row>
    <row r="28" hidden="1">
      <c r="A28" s="151" t="str">
        <f>IFERROR(__xludf.DUMMYFUNCTION("""COMPUTED_VALUE"""),"April'26")</f>
        <v>April'26</v>
      </c>
      <c r="B28" s="152" t="str">
        <f>IFERROR(__xludf.DUMMYFUNCTION("""COMPUTED_VALUE"""),"Ajinomoto - Retail (All existing)")</f>
        <v>Ajinomoto - Retail (All existing)</v>
      </c>
      <c r="C28" s="234" t="str">
        <f>IFERROR(__xludf.DUMMYFUNCTION("""COMPUTED_VALUE"""),"6189 Ajinomoto Sales (Thailand) Co., Ltd.")</f>
        <v>6189 Ajinomoto Sales (Thailand) Co., Ltd.</v>
      </c>
      <c r="D28" s="154"/>
      <c r="E28" s="237" t="str">
        <f>IFERROR(__xludf.DUMMYFUNCTION("""COMPUTED_VALUE"""),"Yok")</f>
        <v>Yok</v>
      </c>
      <c r="F28" s="232"/>
      <c r="G28" s="236"/>
      <c r="H28" s="157">
        <f>IFERROR(__xludf.DUMMYFUNCTION("""COMPUTED_VALUE"""),0.12)</f>
        <v>0.12</v>
      </c>
      <c r="I28" s="157">
        <f>IFERROR(__xludf.DUMMYFUNCTION("""COMPUTED_VALUE"""),0.0)</f>
        <v>0</v>
      </c>
      <c r="J28" s="157">
        <f>IFERROR(__xludf.DUMMYFUNCTION("""COMPUTED_VALUE"""),0.0)</f>
        <v>0</v>
      </c>
      <c r="K28" s="158">
        <f>IFERROR(__xludf.DUMMYFUNCTION("""COMPUTED_VALUE"""),0.0)</f>
        <v>0</v>
      </c>
      <c r="L28" s="159">
        <f>IFERROR(__xludf.DUMMYFUNCTION("""COMPUTED_VALUE"""),0.0)</f>
        <v>0</v>
      </c>
      <c r="M28" s="3">
        <f>IFERROR(__xludf.DUMMYFUNCTION("""COMPUTED_VALUE"""),60000.0)</f>
        <v>60000</v>
      </c>
      <c r="N28" s="238"/>
      <c r="O28" s="184"/>
      <c r="P28" s="171">
        <f>IFERROR(__xludf.DUMMYFUNCTION("""COMPUTED_VALUE"""),153164.1456019184)</f>
        <v>153164.1456</v>
      </c>
      <c r="Q28" s="186">
        <f>IFERROR(__xludf.DUMMYFUNCTION("""COMPUTED_VALUE"""),10721.490192134288)</f>
        <v>10721.49019</v>
      </c>
      <c r="R28" s="171">
        <f>IFERROR(__xludf.DUMMYFUNCTION("""COMPUTED_VALUE"""),163885.63579405268)</f>
        <v>163885.6358</v>
      </c>
      <c r="S28" s="171">
        <f>IFERROR(__xludf.DUMMYFUNCTION("""COMPUTED_VALUE"""),0.0)</f>
        <v>0</v>
      </c>
      <c r="T28" s="171">
        <f>IFERROR(__xludf.DUMMYFUNCTION("""COMPUTED_VALUE"""),0.0)</f>
        <v>0</v>
      </c>
      <c r="U28" s="171">
        <f>IFERROR(__xludf.DUMMYFUNCTION("""COMPUTED_VALUE"""),0.0)</f>
        <v>0</v>
      </c>
      <c r="V28" s="164">
        <f>IFERROR(__xludf.DUMMYFUNCTION("""COMPUTED_VALUE"""),27976.131201918404)</f>
        <v>27976.1312</v>
      </c>
      <c r="W28" s="164">
        <f>IFERROR(__xludf.DUMMYFUNCTION("""COMPUTED_VALUE"""),16718.77)</f>
        <v>16718.77</v>
      </c>
      <c r="X28" s="165">
        <f>IFERROR(__xludf.DUMMYFUNCTION("""COMPUTED_VALUE"""),108469.2444)</f>
        <v>108469.2444</v>
      </c>
      <c r="Y28" s="165">
        <f>IFERROR(__xludf.DUMMYFUNCTION("""COMPUTED_VALUE"""),195738.09)</f>
        <v>195738.09</v>
      </c>
      <c r="Z28" s="165">
        <f>IFERROR(__xludf.DUMMYFUNCTION("""COMPUTED_VALUE"""),11426.61)</f>
        <v>11426.61</v>
      </c>
      <c r="AA28" s="165">
        <f>IFERROR(__xludf.DUMMYFUNCTION("""COMPUTED_VALUE"""),0.0)</f>
        <v>0</v>
      </c>
      <c r="AB28" s="165">
        <f>IFERROR(__xludf.DUMMYFUNCTION("""COMPUTED_VALUE"""),16718.77)</f>
        <v>16718.77</v>
      </c>
      <c r="AC28" s="166">
        <f>IFERROR(__xludf.DUMMYFUNCTION("""COMPUTED_VALUE"""),0.0)</f>
        <v>0</v>
      </c>
      <c r="AD28" s="167">
        <f>IFERROR(__xludf.DUMMYFUNCTION("""COMPUTED_VALUE"""),442838.43)</f>
        <v>442838.43</v>
      </c>
      <c r="AE28" s="17"/>
      <c r="AF28" s="168"/>
      <c r="AG28" s="160"/>
      <c r="AH28" s="172"/>
      <c r="AI28" s="160"/>
      <c r="AJ28" s="133"/>
      <c r="AK28" s="186"/>
      <c r="AL28" s="171">
        <f>IFERROR(__xludf.DUMMYFUNCTION("""COMPUTED_VALUE"""),27976.131201918404)</f>
        <v>27976.1312</v>
      </c>
      <c r="AM28" s="171">
        <f>IFERROR(__xludf.DUMMYFUNCTION("""COMPUTED_VALUE"""),16718.77)</f>
        <v>16718.77</v>
      </c>
      <c r="AN28" s="168">
        <f>IFERROR(__xludf.DUMMYFUNCTION("""COMPUTED_VALUE"""),0.0)</f>
        <v>0</v>
      </c>
      <c r="AO28" s="17"/>
      <c r="AP28" s="164"/>
      <c r="AQ28" s="168">
        <f>IFERROR(__xludf.DUMMYFUNCTION("""COMPUTED_VALUE"""),199089.54)</f>
        <v>199089.54</v>
      </c>
      <c r="AR28" s="173"/>
      <c r="AS28" s="173">
        <f>IFERROR(__xludf.DUMMYFUNCTION("""COMPUTED_VALUE"""),45747.59)</f>
        <v>45747.59</v>
      </c>
      <c r="AT28" s="178">
        <f>IFERROR(__xludf.DUMMYFUNCTION("""COMPUTED_VALUE"""),29922.02)</f>
        <v>29922.02</v>
      </c>
      <c r="AU28" s="173">
        <f>IFERROR(__xludf.DUMMYFUNCTION("""COMPUTED_VALUE"""),0.0)</f>
        <v>0</v>
      </c>
      <c r="AV28" s="173">
        <f>IFERROR(__xludf.DUMMYFUNCTION("""COMPUTED_VALUE"""),120068.48)</f>
        <v>120068.48</v>
      </c>
      <c r="AW28" s="173">
        <f>IFERROR(__xludf.DUMMYFUNCTION("""COMPUTED_VALUE"""),7348.17)</f>
        <v>7348.17</v>
      </c>
      <c r="AX28" s="178">
        <f>IFERROR(__xludf.DUMMYFUNCTION("""COMPUTED_VALUE"""),4078.44)</f>
        <v>4078.44</v>
      </c>
      <c r="AY28" s="17">
        <f>IFERROR(__xludf.DUMMYFUNCTION("""COMPUTED_VALUE"""),0.0)</f>
        <v>0</v>
      </c>
      <c r="AZ28" s="176"/>
      <c r="BA28" s="173"/>
      <c r="BB28" s="173">
        <f>IFERROR(__xludf.DUMMYFUNCTION("""COMPUTED_VALUE"""),5952.87)</f>
        <v>5952.87</v>
      </c>
      <c r="BC28" s="171">
        <f>IFERROR(__xludf.DUMMYFUNCTION("""COMPUTED_VALUE"""),10765.9)</f>
        <v>10765.9</v>
      </c>
      <c r="BD28" s="17">
        <f>IFERROR(__xludf.DUMMYFUNCTION("""COMPUTED_VALUE"""),0.0)</f>
        <v>0</v>
      </c>
      <c r="BE28" s="17"/>
      <c r="BF28" s="17"/>
      <c r="BG28" s="17"/>
      <c r="BH28" s="17"/>
      <c r="BI28" s="173"/>
      <c r="BJ28" s="17">
        <f>IFERROR(__xludf.DUMMYFUNCTION("""COMPUTED_VALUE"""),218954.96)</f>
        <v>218954.96</v>
      </c>
      <c r="BK28" s="17"/>
      <c r="BL28" s="195"/>
      <c r="BM28" s="181"/>
      <c r="BN28" s="181" t="str">
        <f>IFERROR(__xludf.DUMMYFUNCTION("""COMPUTED_VALUE"""),"")</f>
        <v/>
      </c>
      <c r="BO28" s="2"/>
      <c r="BP28" s="133"/>
      <c r="BQ28" s="133"/>
      <c r="BR28" s="133"/>
      <c r="BS28" s="25"/>
    </row>
    <row r="29" hidden="1">
      <c r="A29" s="179"/>
      <c r="B29" s="152" t="str">
        <f>IFERROR(__xludf.DUMMYFUNCTION("""COMPUTED_VALUE"""),"Ajinomoto - Retail (Amino)")</f>
        <v>Ajinomoto - Retail (Amino)</v>
      </c>
      <c r="C29" s="234" t="str">
        <f>IFERROR(__xludf.DUMMYFUNCTION("""COMPUTED_VALUE"""),"6189 Ajinomoto Sales (Thailand) Co., Ltd.")</f>
        <v>6189 Ajinomoto Sales (Thailand) Co., Ltd.</v>
      </c>
      <c r="D29" s="154"/>
      <c r="E29" s="237" t="str">
        <f>IFERROR(__xludf.DUMMYFUNCTION("""COMPUTED_VALUE"""),"Yok")</f>
        <v>Yok</v>
      </c>
      <c r="F29" s="232"/>
      <c r="H29" s="157"/>
      <c r="I29" s="157">
        <f>IFERROR(__xludf.DUMMYFUNCTION("""COMPUTED_VALUE"""),0.0)</f>
        <v>0</v>
      </c>
      <c r="J29" s="157">
        <f>IFERROR(__xludf.DUMMYFUNCTION("""COMPUTED_VALUE"""),0.0)</f>
        <v>0</v>
      </c>
      <c r="K29" s="158">
        <f>IFERROR(__xludf.DUMMYFUNCTION("""COMPUTED_VALUE"""),0.0)</f>
        <v>0</v>
      </c>
      <c r="M29" s="3"/>
      <c r="N29" s="196"/>
      <c r="O29" s="184"/>
      <c r="P29" s="171">
        <f>IFERROR(__xludf.DUMMYFUNCTION("""COMPUTED_VALUE"""),84053.48051032543)</f>
        <v>84053.48051</v>
      </c>
      <c r="Q29" s="186">
        <f>IFERROR(__xludf.DUMMYFUNCTION("""COMPUTED_VALUE"""),5883.743635722781)</f>
        <v>5883.743636</v>
      </c>
      <c r="R29" s="171">
        <f>IFERROR(__xludf.DUMMYFUNCTION("""COMPUTED_VALUE"""),89937.22414604822)</f>
        <v>89937.22415</v>
      </c>
      <c r="S29" s="171">
        <f>IFERROR(__xludf.DUMMYFUNCTION("""COMPUTED_VALUE"""),0.0)</f>
        <v>0</v>
      </c>
      <c r="T29" s="171">
        <f>IFERROR(__xludf.DUMMYFUNCTION("""COMPUTED_VALUE"""),0.0)</f>
        <v>0</v>
      </c>
      <c r="U29" s="171">
        <f>IFERROR(__xludf.DUMMYFUNCTION("""COMPUTED_VALUE"""),0.0)</f>
        <v>0</v>
      </c>
      <c r="V29" s="164">
        <f>IFERROR(__xludf.DUMMYFUNCTION("""COMPUTED_VALUE"""),21267.300510325436)</f>
        <v>21267.30051</v>
      </c>
      <c r="X29" s="165"/>
      <c r="Y29" s="165">
        <f>IFERROR(__xludf.DUMMYFUNCTION("""COMPUTED_VALUE"""),187684.16999999998)</f>
        <v>187684.17</v>
      </c>
      <c r="Z29" s="165">
        <f>IFERROR(__xludf.DUMMYFUNCTION("""COMPUTED_VALUE"""),40236.14)</f>
        <v>40236.14</v>
      </c>
      <c r="AA29" s="165">
        <f>IFERROR(__xludf.DUMMYFUNCTION("""COMPUTED_VALUE"""),0.0)</f>
        <v>0</v>
      </c>
      <c r="AB29" s="165">
        <f>IFERROR(__xludf.DUMMYFUNCTION("""COMPUTED_VALUE"""),62786.18)</f>
        <v>62786.18</v>
      </c>
      <c r="AC29" s="166">
        <f>IFERROR(__xludf.DUMMYFUNCTION("""COMPUTED_VALUE"""),0.0)</f>
        <v>0</v>
      </c>
      <c r="AD29" s="167">
        <f>IFERROR(__xludf.DUMMYFUNCTION("""COMPUTED_VALUE"""),336643.32999999996)</f>
        <v>336643.33</v>
      </c>
      <c r="AE29" s="17"/>
      <c r="AF29" s="168"/>
      <c r="AG29" s="167"/>
      <c r="AH29" s="172"/>
      <c r="AI29" s="160"/>
      <c r="AJ29" s="133"/>
      <c r="AK29" s="186"/>
      <c r="AL29" s="185">
        <f>IFERROR(__xludf.DUMMYFUNCTION("""COMPUTED_VALUE"""),21267.300510325436)</f>
        <v>21267.30051</v>
      </c>
      <c r="AM29" s="17">
        <f>IFERROR(__xludf.DUMMYFUNCTION("""COMPUTED_VALUE"""),62786.18)</f>
        <v>62786.18</v>
      </c>
      <c r="AN29" s="168"/>
      <c r="AO29" s="17"/>
      <c r="AP29" s="17"/>
      <c r="AQ29" s="172"/>
      <c r="AR29" s="173"/>
      <c r="AS29" s="173">
        <f>IFERROR(__xludf.DUMMYFUNCTION("""COMPUTED_VALUE"""),5000.02)</f>
        <v>5000.02</v>
      </c>
      <c r="AT29" s="178">
        <f>IFERROR(__xludf.DUMMYFUNCTION("""COMPUTED_VALUE"""),147598.0)</f>
        <v>147598</v>
      </c>
      <c r="AU29" s="173">
        <f>IFERROR(__xludf.DUMMYFUNCTION("""COMPUTED_VALUE"""),0.0)</f>
        <v>0</v>
      </c>
      <c r="AV29" s="173">
        <f>IFERROR(__xludf.DUMMYFUNCTION("""COMPUTED_VALUE"""),35086.15)</f>
        <v>35086.15</v>
      </c>
      <c r="AW29" s="173">
        <f>IFERROR(__xludf.DUMMYFUNCTION("""COMPUTED_VALUE"""),137.83)</f>
        <v>137.83</v>
      </c>
      <c r="AX29" s="178">
        <f>IFERROR(__xludf.DUMMYFUNCTION("""COMPUTED_VALUE"""),40098.31)</f>
        <v>40098.31</v>
      </c>
      <c r="AY29" s="17">
        <f>IFERROR(__xludf.DUMMYFUNCTION("""COMPUTED_VALUE"""),0.0)</f>
        <v>0</v>
      </c>
      <c r="AZ29" s="176"/>
      <c r="BA29" s="171"/>
      <c r="BB29" s="173">
        <f>IFERROR(__xludf.DUMMYFUNCTION("""COMPUTED_VALUE"""),0.0)</f>
        <v>0</v>
      </c>
      <c r="BC29" s="171">
        <f>IFERROR(__xludf.DUMMYFUNCTION("""COMPUTED_VALUE"""),62786.18)</f>
        <v>62786.18</v>
      </c>
      <c r="BD29" s="17">
        <f>IFERROR(__xludf.DUMMYFUNCTION("""COMPUTED_VALUE"""),0.0)</f>
        <v>0</v>
      </c>
      <c r="BE29" s="17"/>
      <c r="BF29" s="17"/>
      <c r="BG29" s="17"/>
      <c r="BH29" s="17"/>
      <c r="BI29" s="173"/>
      <c r="BJ29" s="17">
        <f>IFERROR(__xludf.DUMMYFUNCTION("""COMPUTED_VALUE"""),45936.84)</f>
        <v>45936.84</v>
      </c>
      <c r="BK29" s="17"/>
      <c r="BL29" s="195"/>
      <c r="BM29" s="181"/>
      <c r="BN29" s="181" t="str">
        <f>IFERROR(__xludf.DUMMYFUNCTION("""COMPUTED_VALUE"""),"")</f>
        <v/>
      </c>
      <c r="BO29" s="2"/>
      <c r="BP29" s="133"/>
      <c r="BQ29" s="133"/>
      <c r="BR29" s="133"/>
      <c r="BS29" s="25"/>
    </row>
    <row r="30" hidden="1">
      <c r="A30" s="179"/>
      <c r="B30" s="152" t="str">
        <f>IFERROR(__xludf.DUMMYFUNCTION("""COMPUTED_VALUE"""),"Ajinomoto - Retail (Quick Meal)")</f>
        <v>Ajinomoto - Retail (Quick Meal)</v>
      </c>
      <c r="C30" s="234" t="str">
        <f>IFERROR(__xludf.DUMMYFUNCTION("""COMPUTED_VALUE"""),"6189 Ajinomoto Sales (Thailand) Co., Ltd.")</f>
        <v>6189 Ajinomoto Sales (Thailand) Co., Ltd.</v>
      </c>
      <c r="D30" s="154"/>
      <c r="E30" s="237" t="str">
        <f>IFERROR(__xludf.DUMMYFUNCTION("""COMPUTED_VALUE"""),"Yok")</f>
        <v>Yok</v>
      </c>
      <c r="F30" s="232"/>
      <c r="H30" s="157"/>
      <c r="I30" s="157">
        <f>IFERROR(__xludf.DUMMYFUNCTION("""COMPUTED_VALUE"""),0.0)</f>
        <v>0</v>
      </c>
      <c r="J30" s="157">
        <f>IFERROR(__xludf.DUMMYFUNCTION("""COMPUTED_VALUE"""),0.0)</f>
        <v>0</v>
      </c>
      <c r="K30" s="158">
        <f>IFERROR(__xludf.DUMMYFUNCTION("""COMPUTED_VALUE"""),0.0)</f>
        <v>0</v>
      </c>
      <c r="M30" s="3"/>
      <c r="N30" s="196"/>
      <c r="O30" s="184"/>
      <c r="P30" s="171">
        <f>IFERROR(__xludf.DUMMYFUNCTION("""COMPUTED_VALUE"""),33451.85828775616)</f>
        <v>33451.85829</v>
      </c>
      <c r="Q30" s="186">
        <f>IFERROR(__xludf.DUMMYFUNCTION("""COMPUTED_VALUE"""),2341.630080142931)</f>
        <v>2341.63008</v>
      </c>
      <c r="R30" s="171">
        <f>IFERROR(__xludf.DUMMYFUNCTION("""COMPUTED_VALUE"""),35793.48836789909)</f>
        <v>35793.48837</v>
      </c>
      <c r="S30" s="171">
        <f>IFERROR(__xludf.DUMMYFUNCTION("""COMPUTED_VALUE"""),0.0)</f>
        <v>0</v>
      </c>
      <c r="T30" s="171">
        <f>IFERROR(__xludf.DUMMYFUNCTION("""COMPUTED_VALUE"""),0.0)</f>
        <v>0</v>
      </c>
      <c r="U30" s="171">
        <f>IFERROR(__xludf.DUMMYFUNCTION("""COMPUTED_VALUE"""),0.0)</f>
        <v>0</v>
      </c>
      <c r="V30" s="164">
        <f>IFERROR(__xludf.DUMMYFUNCTION("""COMPUTED_VALUE"""),3756.568287756153)</f>
        <v>3756.568288</v>
      </c>
      <c r="X30" s="165"/>
      <c r="Y30" s="165">
        <f>IFERROR(__xludf.DUMMYFUNCTION("""COMPUTED_VALUE"""),22307.71)</f>
        <v>22307.71</v>
      </c>
      <c r="Z30" s="165">
        <f>IFERROR(__xludf.DUMMYFUNCTION("""COMPUTED_VALUE"""),61.8)</f>
        <v>61.8</v>
      </c>
      <c r="AA30" s="165">
        <f>IFERROR(__xludf.DUMMYFUNCTION("""COMPUTED_VALUE"""),0.0)</f>
        <v>0</v>
      </c>
      <c r="AB30" s="165">
        <f>IFERROR(__xludf.DUMMYFUNCTION("""COMPUTED_VALUE"""),29695.29)</f>
        <v>29695.29</v>
      </c>
      <c r="AC30" s="166">
        <f>IFERROR(__xludf.DUMMYFUNCTION("""COMPUTED_VALUE"""),0.0)</f>
        <v>0</v>
      </c>
      <c r="AD30" s="167">
        <f>IFERROR(__xludf.DUMMYFUNCTION("""COMPUTED_VALUE"""),59463.29)</f>
        <v>59463.29</v>
      </c>
      <c r="AE30" s="17"/>
      <c r="AF30" s="168"/>
      <c r="AG30" s="167"/>
      <c r="AH30" s="172"/>
      <c r="AI30" s="160"/>
      <c r="AJ30" s="133"/>
      <c r="AK30" s="186"/>
      <c r="AL30" s="185">
        <f>IFERROR(__xludf.DUMMYFUNCTION("""COMPUTED_VALUE"""),3756.568287756153)</f>
        <v>3756.568288</v>
      </c>
      <c r="AM30" s="17">
        <f>IFERROR(__xludf.DUMMYFUNCTION("""COMPUTED_VALUE"""),29695.29)</f>
        <v>29695.29</v>
      </c>
      <c r="AN30" s="168"/>
      <c r="AO30" s="17"/>
      <c r="AP30" s="17"/>
      <c r="AQ30" s="172"/>
      <c r="AR30" s="173"/>
      <c r="AS30" s="173">
        <f>IFERROR(__xludf.DUMMYFUNCTION("""COMPUTED_VALUE"""),0.0)</f>
        <v>0</v>
      </c>
      <c r="AT30" s="178">
        <f>IFERROR(__xludf.DUMMYFUNCTION("""COMPUTED_VALUE"""),20566.14)</f>
        <v>20566.14</v>
      </c>
      <c r="AU30" s="173">
        <f>IFERROR(__xludf.DUMMYFUNCTION("""COMPUTED_VALUE"""),0.0)</f>
        <v>0</v>
      </c>
      <c r="AV30" s="173">
        <f>IFERROR(__xludf.DUMMYFUNCTION("""COMPUTED_VALUE"""),1741.57)</f>
        <v>1741.57</v>
      </c>
      <c r="AW30" s="178">
        <f>IFERROR(__xludf.DUMMYFUNCTION("""COMPUTED_VALUE"""),61.8)</f>
        <v>61.8</v>
      </c>
      <c r="AX30" s="178">
        <f>IFERROR(__xludf.DUMMYFUNCTION("""COMPUTED_VALUE"""),0.0)</f>
        <v>0</v>
      </c>
      <c r="AY30" s="17">
        <f>IFERROR(__xludf.DUMMYFUNCTION("""COMPUTED_VALUE"""),0.0)</f>
        <v>0</v>
      </c>
      <c r="AZ30" s="176"/>
      <c r="BA30" s="17"/>
      <c r="BB30" s="173"/>
      <c r="BC30" s="17">
        <f>IFERROR(__xludf.DUMMYFUNCTION("""COMPUTED_VALUE"""),29695.29)</f>
        <v>29695.29</v>
      </c>
      <c r="BD30" s="17"/>
      <c r="BE30" s="17"/>
      <c r="BF30" s="17"/>
      <c r="BG30" s="17"/>
      <c r="BH30" s="17"/>
      <c r="BI30" s="173"/>
      <c r="BJ30" s="17">
        <f>IFERROR(__xludf.DUMMYFUNCTION("""COMPUTED_VALUE"""),7398.49)</f>
        <v>7398.49</v>
      </c>
      <c r="BK30" s="17"/>
      <c r="BL30" s="195"/>
      <c r="BM30" s="181"/>
      <c r="BN30" s="181" t="str">
        <f>IFERROR(__xludf.DUMMYFUNCTION("""COMPUTED_VALUE"""),"")</f>
        <v/>
      </c>
      <c r="BO30" s="2"/>
      <c r="BP30" s="133"/>
      <c r="BQ30" s="133"/>
      <c r="BR30" s="133"/>
      <c r="BS30" s="25"/>
    </row>
    <row r="31" hidden="1">
      <c r="A31" s="179"/>
      <c r="B31" s="152" t="str">
        <f>IFERROR(__xludf.DUMMYFUNCTION("""COMPUTED_VALUE"""),"Ajinomoto - Retail (D2C)")</f>
        <v>Ajinomoto - Retail (D2C)</v>
      </c>
      <c r="C31" s="234" t="str">
        <f>IFERROR(__xludf.DUMMYFUNCTION("""COMPUTED_VALUE"""),"6189 Ajinomoto Sales (Thailand) Co., Ltd.")</f>
        <v>6189 Ajinomoto Sales (Thailand) Co., Ltd.</v>
      </c>
      <c r="D31" s="154"/>
      <c r="E31" s="237" t="str">
        <f>IFERROR(__xludf.DUMMYFUNCTION("""COMPUTED_VALUE"""),"Yok")</f>
        <v>Yok</v>
      </c>
      <c r="F31" s="232"/>
      <c r="H31" s="157"/>
      <c r="I31" s="157">
        <f>IFERROR(__xludf.DUMMYFUNCTION("""COMPUTED_VALUE"""),0.0)</f>
        <v>0</v>
      </c>
      <c r="J31" s="157">
        <f>IFERROR(__xludf.DUMMYFUNCTION("""COMPUTED_VALUE"""),0.0)</f>
        <v>0</v>
      </c>
      <c r="K31" s="158">
        <f>IFERROR(__xludf.DUMMYFUNCTION("""COMPUTED_VALUE"""),0.0)</f>
        <v>0</v>
      </c>
      <c r="M31" s="3"/>
      <c r="N31" s="196"/>
      <c r="O31" s="184"/>
      <c r="P31" s="171">
        <f>IFERROR(__xludf.DUMMYFUNCTION("""COMPUTED_VALUE"""),64965.32)</f>
        <v>64965.32</v>
      </c>
      <c r="Q31" s="186">
        <f>IFERROR(__xludf.DUMMYFUNCTION("""COMPUTED_VALUE"""),4547.5724)</f>
        <v>4547.5724</v>
      </c>
      <c r="R31" s="171">
        <f>IFERROR(__xludf.DUMMYFUNCTION("""COMPUTED_VALUE"""),69512.8924)</f>
        <v>69512.8924</v>
      </c>
      <c r="S31" s="171">
        <f>IFERROR(__xludf.DUMMYFUNCTION("""COMPUTED_VALUE"""),0.0)</f>
        <v>0</v>
      </c>
      <c r="T31" s="171">
        <f>IFERROR(__xludf.DUMMYFUNCTION("""COMPUTED_VALUE"""),0.0)</f>
        <v>0</v>
      </c>
      <c r="U31" s="171">
        <f>IFERROR(__xludf.DUMMYFUNCTION("""COMPUTED_VALUE"""),0.0)</f>
        <v>0</v>
      </c>
      <c r="V31" s="164">
        <f>IFERROR(__xludf.DUMMYFUNCTION("""COMPUTED_VALUE"""),0.0)</f>
        <v>0</v>
      </c>
      <c r="X31" s="165"/>
      <c r="Y31" s="165">
        <f>IFERROR(__xludf.DUMMYFUNCTION("""COMPUTED_VALUE"""),0.0)</f>
        <v>0</v>
      </c>
      <c r="Z31" s="165">
        <f>IFERROR(__xludf.DUMMYFUNCTION("""COMPUTED_VALUE"""),0.0)</f>
        <v>0</v>
      </c>
      <c r="AA31" s="165">
        <f>IFERROR(__xludf.DUMMYFUNCTION("""COMPUTED_VALUE"""),0.0)</f>
        <v>0</v>
      </c>
      <c r="AB31" s="165">
        <f>IFERROR(__xludf.DUMMYFUNCTION("""COMPUTED_VALUE"""),64965.32)</f>
        <v>64965.32</v>
      </c>
      <c r="AC31" s="166">
        <f>IFERROR(__xludf.DUMMYFUNCTION("""COMPUTED_VALUE"""),0.0)</f>
        <v>0</v>
      </c>
      <c r="AD31" s="167">
        <f>IFERROR(__xludf.DUMMYFUNCTION("""COMPUTED_VALUE"""),64965.32)</f>
        <v>64965.32</v>
      </c>
      <c r="AE31" s="17"/>
      <c r="AF31" s="168"/>
      <c r="AG31" s="167"/>
      <c r="AH31" s="172"/>
      <c r="AI31" s="160"/>
      <c r="AJ31" s="133"/>
      <c r="AK31" s="172"/>
      <c r="AL31" s="185"/>
      <c r="AM31" s="17">
        <f>IFERROR(__xludf.DUMMYFUNCTION("""COMPUTED_VALUE"""),64965.32)</f>
        <v>64965.32</v>
      </c>
      <c r="AN31" s="168"/>
      <c r="AO31" s="17"/>
      <c r="AP31" s="17"/>
      <c r="AQ31" s="172"/>
      <c r="AR31" s="17"/>
      <c r="AS31" s="17"/>
      <c r="AT31" s="17"/>
      <c r="AU31" s="17"/>
      <c r="AV31" s="17"/>
      <c r="AW31" s="17"/>
      <c r="AX31" s="17"/>
      <c r="AY31" s="17"/>
      <c r="AZ31" s="176"/>
      <c r="BA31" s="17"/>
      <c r="BB31" s="17"/>
      <c r="BC31" s="17"/>
      <c r="BD31" s="173"/>
      <c r="BE31" s="17">
        <f>IFERROR(__xludf.DUMMYFUNCTION("""COMPUTED_VALUE"""),64965.32)</f>
        <v>64965.32</v>
      </c>
      <c r="BF31" s="17"/>
      <c r="BG31" s="17"/>
      <c r="BH31" s="17"/>
      <c r="BI31" s="17"/>
      <c r="BJ31" s="17"/>
      <c r="BK31" s="17"/>
      <c r="BL31" s="195"/>
      <c r="BM31" s="181"/>
      <c r="BN31" s="181" t="str">
        <f>IFERROR(__xludf.DUMMYFUNCTION("""COMPUTED_VALUE"""),"")</f>
        <v/>
      </c>
      <c r="BO31" s="2"/>
      <c r="BP31" s="133"/>
      <c r="BQ31" s="133"/>
      <c r="BR31" s="133"/>
      <c r="BS31" s="25"/>
    </row>
    <row r="32" hidden="1">
      <c r="A32" s="151" t="str">
        <f>IFERROR(__xludf.DUMMYFUNCTION("""COMPUTED_VALUE"""),"April'26")</f>
        <v>April'26</v>
      </c>
      <c r="B32" s="152" t="str">
        <f>IFERROR(__xludf.DUMMYFUNCTION("""COMPUTED_VALUE"""),"Paseo")</f>
        <v>Paseo</v>
      </c>
      <c r="C32" s="234" t="str">
        <f>IFERROR(__xludf.DUMMYFUNCTION("""COMPUTED_VALUE"""),"6248 Grand Universal (Thailand) Company Limited")</f>
        <v>6248 Grand Universal (Thailand) Company Limited</v>
      </c>
      <c r="D32" s="239"/>
      <c r="E32" s="189" t="str">
        <f>IFERROR(__xludf.DUMMYFUNCTION("""COMPUTED_VALUE"""),"Title")</f>
        <v>Title</v>
      </c>
      <c r="F32" s="156" t="str">
        <f>IFERROR(__xludf.DUMMYFUNCTION("""COMPUTED_VALUE"""),"Honey")</f>
        <v>Honey</v>
      </c>
      <c r="G32" s="157" t="str">
        <f>IFERROR(__xludf.DUMMYFUNCTION("""COMPUTED_VALUE"""),"Nat")</f>
        <v>Nat</v>
      </c>
      <c r="H32" s="157">
        <f>IFERROR(__xludf.DUMMYFUNCTION("""COMPUTED_VALUE"""),0.1)</f>
        <v>0.1</v>
      </c>
      <c r="I32" s="157">
        <f>IFERROR(__xludf.DUMMYFUNCTION("""COMPUTED_VALUE"""),0.0)</f>
        <v>0</v>
      </c>
      <c r="J32" s="157">
        <f>IFERROR(__xludf.DUMMYFUNCTION("""COMPUTED_VALUE"""),0.0)</f>
        <v>0</v>
      </c>
      <c r="K32" s="158">
        <f>IFERROR(__xludf.DUMMYFUNCTION("""COMPUTED_VALUE"""),0.0)</f>
        <v>0</v>
      </c>
      <c r="L32" s="159">
        <f>IFERROR(__xludf.DUMMYFUNCTION("""COMPUTED_VALUE"""),0.0)</f>
        <v>0</v>
      </c>
      <c r="M32" s="3">
        <f>IFERROR(__xludf.DUMMYFUNCTION("""COMPUTED_VALUE"""),45000.0)</f>
        <v>45000</v>
      </c>
      <c r="N32" s="196"/>
      <c r="O32" s="185"/>
      <c r="P32" s="171">
        <f>IFERROR(__xludf.DUMMYFUNCTION("""COMPUTED_VALUE"""),779129.503)</f>
        <v>779129.503</v>
      </c>
      <c r="Q32" s="186">
        <f>IFERROR(__xludf.DUMMYFUNCTION("""COMPUTED_VALUE"""),54539.06521000001)</f>
        <v>54539.06521</v>
      </c>
      <c r="R32" s="171">
        <f>IFERROR(__xludf.DUMMYFUNCTION("""COMPUTED_VALUE"""),833668.56821)</f>
        <v>833668.5682</v>
      </c>
      <c r="S32" s="171">
        <f>IFERROR(__xludf.DUMMYFUNCTION("""COMPUTED_VALUE"""),0.0)</f>
        <v>0</v>
      </c>
      <c r="T32" s="171">
        <f>IFERROR(__xludf.DUMMYFUNCTION("""COMPUTED_VALUE"""),0.0)</f>
        <v>0</v>
      </c>
      <c r="U32" s="171">
        <f>IFERROR(__xludf.DUMMYFUNCTION("""COMPUTED_VALUE"""),0.0)</f>
        <v>0</v>
      </c>
      <c r="V32" s="164">
        <f>IFERROR(__xludf.DUMMYFUNCTION("""COMPUTED_VALUE"""),700000.0)</f>
        <v>700000</v>
      </c>
      <c r="W32" s="164">
        <f>IFERROR(__xludf.DUMMYFUNCTION("""COMPUTED_VALUE"""),0.0)</f>
        <v>0</v>
      </c>
      <c r="X32" s="165">
        <f>IFERROR(__xludf.DUMMYFUNCTION("""COMPUTED_VALUE"""),79129.50300000001)</f>
        <v>79129.503</v>
      </c>
      <c r="Y32" s="165">
        <f>IFERROR(__xludf.DUMMYFUNCTION("""COMPUTED_VALUE"""),723584.81)</f>
        <v>723584.81</v>
      </c>
      <c r="Z32" s="165">
        <f>IFERROR(__xludf.DUMMYFUNCTION("""COMPUTED_VALUE"""),67710.22)</f>
        <v>67710.22</v>
      </c>
      <c r="AA32" s="165">
        <f>IFERROR(__xludf.DUMMYFUNCTION("""COMPUTED_VALUE"""),0.0)</f>
        <v>0</v>
      </c>
      <c r="AB32" s="165">
        <f>IFERROR(__xludf.DUMMYFUNCTION("""COMPUTED_VALUE"""),0.0)</f>
        <v>0</v>
      </c>
      <c r="AC32" s="186">
        <f>IFERROR(__xludf.DUMMYFUNCTION("""COMPUTED_VALUE"""),0.0)</f>
        <v>0</v>
      </c>
      <c r="AD32" s="167">
        <f>IFERROR(__xludf.DUMMYFUNCTION("""COMPUTED_VALUE"""),791295.03)</f>
        <v>791295.03</v>
      </c>
      <c r="AE32" s="17"/>
      <c r="AF32" s="168"/>
      <c r="AG32" s="167"/>
      <c r="AH32" s="172"/>
      <c r="AI32" s="167"/>
      <c r="AJ32" s="133"/>
      <c r="AK32" s="186"/>
      <c r="AL32" s="167">
        <f>IFERROR(__xludf.DUMMYFUNCTION("""COMPUTED_VALUE"""),700000.0)</f>
        <v>700000</v>
      </c>
      <c r="AM32" s="17"/>
      <c r="AN32" s="168"/>
      <c r="AO32" s="17"/>
      <c r="AP32" s="17"/>
      <c r="AQ32" s="172"/>
      <c r="AR32" s="173"/>
      <c r="AS32" s="173">
        <f>IFERROR(__xludf.DUMMYFUNCTION("""COMPUTED_VALUE"""),20755.27)</f>
        <v>20755.27</v>
      </c>
      <c r="AT32" s="173">
        <f>IFERROR(__xludf.DUMMYFUNCTION("""COMPUTED_VALUE"""),472438.31)</f>
        <v>472438.31</v>
      </c>
      <c r="AU32" s="173">
        <f>IFERROR(__xludf.DUMMYFUNCTION("""COMPUTED_VALUE"""),11279.62)</f>
        <v>11279.62</v>
      </c>
      <c r="AV32" s="173">
        <f>IFERROR(__xludf.DUMMYFUNCTION("""COMPUTED_VALUE"""),219111.61)</f>
        <v>219111.61</v>
      </c>
      <c r="AW32" s="173">
        <f>IFERROR(__xludf.DUMMYFUNCTION("""COMPUTED_VALUE"""),13028.78)</f>
        <v>13028.78</v>
      </c>
      <c r="AX32" s="173">
        <f>IFERROR(__xludf.DUMMYFUNCTION("""COMPUTED_VALUE"""),47920.12)</f>
        <v>47920.12</v>
      </c>
      <c r="AY32" s="17">
        <f>IFERROR(__xludf.DUMMYFUNCTION("""COMPUTED_VALUE"""),6761.32)</f>
        <v>6761.32</v>
      </c>
      <c r="AZ32" s="176"/>
      <c r="BA32" s="17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9"/>
      <c r="BM32" s="180" t="str">
        <f>IFERROR(__xludf.DUMMYFUNCTION("""COMPUTED_VALUE"""),"Approval")</f>
        <v>Approval</v>
      </c>
      <c r="BN32" s="181">
        <f>IFERROR(__xludf.DUMMYFUNCTION("""COMPUTED_VALUE"""),46148.39064388889)</f>
        <v>46148.39064</v>
      </c>
      <c r="BO32" s="2"/>
      <c r="BP32" s="133"/>
      <c r="BQ32" s="133"/>
      <c r="BR32" s="133"/>
      <c r="BS32" s="25"/>
    </row>
    <row r="33" hidden="1">
      <c r="A33" s="240" t="str">
        <f>IFERROR(__xludf.DUMMYFUNCTION("""COMPUTED_VALUE"""),"April'26")</f>
        <v>April'26</v>
      </c>
      <c r="B33" s="241" t="str">
        <f>IFERROR(__xludf.DUMMYFUNCTION("""COMPUTED_VALUE"""),"Total - Retails Model")</f>
        <v>Total - Retails Model</v>
      </c>
      <c r="C33" s="242"/>
      <c r="D33" s="243"/>
      <c r="E33" s="244"/>
      <c r="F33" s="245"/>
      <c r="G33" s="246"/>
      <c r="H33" s="246"/>
      <c r="I33" s="246"/>
      <c r="J33" s="246"/>
      <c r="K33" s="247"/>
      <c r="L33" s="246"/>
      <c r="M33" s="246"/>
      <c r="N33" s="248"/>
      <c r="O33" s="249"/>
      <c r="P33" s="250">
        <f>IFERROR(__xludf.DUMMYFUNCTION("""COMPUTED_VALUE"""),1.4337259705218224E7)</f>
        <v>14337259.71</v>
      </c>
      <c r="Q33" s="251">
        <f>IFERROR(__xludf.DUMMYFUNCTION("""COMPUTED_VALUE"""),1003608.1793652755)</f>
        <v>1003608.179</v>
      </c>
      <c r="R33" s="250">
        <f>IFERROR(__xludf.DUMMYFUNCTION("""COMPUTED_VALUE"""),1.53408678845835E7)</f>
        <v>15340867.88</v>
      </c>
      <c r="S33" s="250">
        <f>IFERROR(__xludf.DUMMYFUNCTION("""COMPUTED_VALUE"""),34815.23600373831)</f>
        <v>34815.236</v>
      </c>
      <c r="T33" s="250">
        <f>IFERROR(__xludf.DUMMYFUNCTION("""COMPUTED_VALUE"""),0.0)</f>
        <v>0</v>
      </c>
      <c r="U33" s="250">
        <f>IFERROR(__xludf.DUMMYFUNCTION("""COMPUTED_VALUE"""),2080006.5099999998)</f>
        <v>2080006.51</v>
      </c>
      <c r="V33" s="250">
        <f>IFERROR(__xludf.DUMMYFUNCTION("""COMPUTED_VALUE"""),3527860.0)</f>
        <v>3527860</v>
      </c>
      <c r="W33" s="250">
        <f>IFERROR(__xludf.DUMMYFUNCTION("""COMPUTED_VALUE"""),7581681.016168224)</f>
        <v>7581681.016</v>
      </c>
      <c r="X33" s="250">
        <f>IFERROR(__xludf.DUMMYFUNCTION("""COMPUTED_VALUE"""),1422712.1790499997)</f>
        <v>1422712.179</v>
      </c>
      <c r="Y33" s="250">
        <f>IFERROR(__xludf.DUMMYFUNCTION("""COMPUTED_VALUE"""),9036919.1)</f>
        <v>9036919.1</v>
      </c>
      <c r="Z33" s="250">
        <f>IFERROR(__xludf.DUMMYFUNCTION("""COMPUTED_VALUE"""),2213131.43)</f>
        <v>2213131.43</v>
      </c>
      <c r="AA33" s="250">
        <f>IFERROR(__xludf.DUMMYFUNCTION("""COMPUTED_VALUE"""),4403450.039999999)</f>
        <v>4403450.04</v>
      </c>
      <c r="AB33" s="250">
        <f>IFERROR(__xludf.DUMMYFUNCTION("""COMPUTED_VALUE"""),578144.51)</f>
        <v>578144.51</v>
      </c>
      <c r="AC33" s="251">
        <f>IFERROR(__xludf.DUMMYFUNCTION("""COMPUTED_VALUE"""),26787.77)</f>
        <v>26787.77</v>
      </c>
      <c r="AD33" s="249">
        <f>IFERROR(__xludf.DUMMYFUNCTION("""COMPUTED_VALUE"""),1.8511990409999996E7)</f>
        <v>18511990.41</v>
      </c>
      <c r="AE33" s="250">
        <f>IFERROR(__xludf.DUMMYFUNCTION("""COMPUTED_VALUE"""),0.0)</f>
        <v>0</v>
      </c>
      <c r="AF33" s="251">
        <f>IFERROR(__xludf.DUMMYFUNCTION("""COMPUTED_VALUE"""),0.0)</f>
        <v>0</v>
      </c>
      <c r="AG33" s="249">
        <f>IFERROR(__xludf.DUMMYFUNCTION("""COMPUTED_VALUE"""),0.0)</f>
        <v>0</v>
      </c>
      <c r="AH33" s="251">
        <f>IFERROR(__xludf.DUMMYFUNCTION("""COMPUTED_VALUE"""),757530.09)</f>
        <v>757530.09</v>
      </c>
      <c r="AI33" s="249">
        <f>IFERROR(__xludf.DUMMYFUNCTION("""COMPUTED_VALUE"""),1322476.42)</f>
        <v>1322476.42</v>
      </c>
      <c r="AJ33" s="250">
        <f>IFERROR(__xludf.DUMMYFUNCTION("""COMPUTED_VALUE"""),98860.0)</f>
        <v>98860</v>
      </c>
      <c r="AK33" s="250">
        <f>IFERROR(__xludf.DUMMYFUNCTION("""COMPUTED_VALUE"""),0.0)</f>
        <v>0</v>
      </c>
      <c r="AL33" s="250">
        <f>IFERROR(__xludf.DUMMYFUNCTION("""COMPUTED_VALUE"""),3429000.0)</f>
        <v>3429000</v>
      </c>
      <c r="AM33" s="250">
        <f>IFERROR(__xludf.DUMMYFUNCTION("""COMPUTED_VALUE"""),578144.51)</f>
        <v>578144.51</v>
      </c>
      <c r="AN33" s="251">
        <f>IFERROR(__xludf.DUMMYFUNCTION("""COMPUTED_VALUE"""),4370158.07)</f>
        <v>4370158.07</v>
      </c>
      <c r="AO33" s="250">
        <f>IFERROR(__xludf.DUMMYFUNCTION("""COMPUTED_VALUE"""),26787.77)</f>
        <v>26787.77</v>
      </c>
      <c r="AP33" s="250">
        <f>IFERROR(__xludf.DUMMYFUNCTION("""COMPUTED_VALUE"""),420568.80616822426)</f>
        <v>420568.8062</v>
      </c>
      <c r="AQ33" s="251">
        <f>IFERROR(__xludf.DUMMYFUNCTION("""COMPUTED_VALUE"""),2312062.59)</f>
        <v>2312062.59</v>
      </c>
      <c r="AR33" s="250">
        <f>IFERROR(__xludf.DUMMYFUNCTION("""COMPUTED_VALUE"""),73048.81)</f>
        <v>73048.81</v>
      </c>
      <c r="AS33" s="250">
        <f>IFERROR(__xludf.DUMMYFUNCTION("""COMPUTED_VALUE"""),277520.39999999997)</f>
        <v>277520.4</v>
      </c>
      <c r="AT33" s="250">
        <f>IFERROR(__xludf.DUMMYFUNCTION("""COMPUTED_VALUE"""),6549736.259999999)</f>
        <v>6549736.26</v>
      </c>
      <c r="AU33" s="250">
        <f>IFERROR(__xludf.DUMMYFUNCTION("""COMPUTED_VALUE"""),57138.020000000004)</f>
        <v>57138.02</v>
      </c>
      <c r="AV33" s="250">
        <f>IFERROR(__xludf.DUMMYFUNCTION("""COMPUTED_VALUE"""),2152524.42)</f>
        <v>2152524.42</v>
      </c>
      <c r="AW33" s="250">
        <f>IFERROR(__xludf.DUMMYFUNCTION("""COMPUTED_VALUE"""),782539.6000000002)</f>
        <v>782539.6</v>
      </c>
      <c r="AX33" s="250">
        <f>IFERROR(__xludf.DUMMYFUNCTION("""COMPUTED_VALUE"""),911931.2899999999)</f>
        <v>911931.29</v>
      </c>
      <c r="AY33" s="250">
        <f>IFERROR(__xludf.DUMMYFUNCTION("""COMPUTED_VALUE"""),518660.54000000004)</f>
        <v>518660.54</v>
      </c>
      <c r="AZ33" s="252">
        <f>IFERROR(__xludf.DUMMYFUNCTION("""COMPUTED_VALUE"""),0.0)</f>
        <v>0</v>
      </c>
      <c r="BA33" s="253">
        <f>IFERROR(__xludf.DUMMYFUNCTION("""COMPUTED_VALUE"""),0.0)</f>
        <v>0</v>
      </c>
      <c r="BB33" s="250">
        <f>IFERROR(__xludf.DUMMYFUNCTION("""COMPUTED_VALUE"""),74033.01999999999)</f>
        <v>74033.02</v>
      </c>
      <c r="BC33" s="250">
        <f>IFERROR(__xludf.DUMMYFUNCTION("""COMPUTED_VALUE"""),439146.17000000004)</f>
        <v>439146.17</v>
      </c>
      <c r="BD33" s="250">
        <f>IFERROR(__xludf.DUMMYFUNCTION("""COMPUTED_VALUE"""),0.0)</f>
        <v>0</v>
      </c>
      <c r="BE33" s="250">
        <f>IFERROR(__xludf.DUMMYFUNCTION("""COMPUTED_VALUE"""),64965.32)</f>
        <v>64965.32</v>
      </c>
      <c r="BF33" s="250">
        <f>IFERROR(__xludf.DUMMYFUNCTION("""COMPUTED_VALUE"""),0.0)</f>
        <v>0</v>
      </c>
      <c r="BG33" s="250">
        <f>IFERROR(__xludf.DUMMYFUNCTION("""COMPUTED_VALUE"""),4367200.109999999)</f>
        <v>4367200.11</v>
      </c>
      <c r="BH33" s="250">
        <f>IFERROR(__xludf.DUMMYFUNCTION("""COMPUTED_VALUE"""),20096.15)</f>
        <v>20096.15</v>
      </c>
      <c r="BI33" s="250">
        <f>IFERROR(__xludf.DUMMYFUNCTION("""COMPUTED_VALUE"""),16153.78)</f>
        <v>16153.78</v>
      </c>
      <c r="BJ33" s="250">
        <f>IFERROR(__xludf.DUMMYFUNCTION("""COMPUTED_VALUE"""),2260688.63)</f>
        <v>2260688.63</v>
      </c>
      <c r="BK33" s="250">
        <f>IFERROR(__xludf.DUMMYFUNCTION("""COMPUTED_VALUE"""),0.0)</f>
        <v>0</v>
      </c>
      <c r="BL33" s="160">
        <f>IFERROR(__xludf.DUMMYFUNCTION("""COMPUTED_VALUE"""),26787.77)</f>
        <v>26787.77</v>
      </c>
      <c r="BM33" s="133"/>
      <c r="BN33" s="2"/>
      <c r="BO33" s="2"/>
      <c r="BP33" s="133"/>
      <c r="BQ33" s="133"/>
      <c r="BR33" s="133"/>
      <c r="BS33" s="25"/>
    </row>
    <row r="34" hidden="1">
      <c r="A34" s="254" t="str">
        <f>IFERROR(__xludf.DUMMYFUNCTION("""COMPUTED_VALUE"""),"April'26")</f>
        <v>April'26</v>
      </c>
      <c r="B34" s="255" t="str">
        <f>IFERROR(__xludf.DUMMYFUNCTION("""COMPUTED_VALUE"""),"Consignment Model")</f>
        <v>Consignment Model</v>
      </c>
      <c r="C34" s="256"/>
      <c r="D34" s="257"/>
      <c r="E34" s="258"/>
      <c r="F34" s="259"/>
      <c r="G34" s="260"/>
      <c r="H34" s="261"/>
      <c r="I34" s="261"/>
      <c r="J34" s="261"/>
      <c r="K34" s="262"/>
      <c r="L34" s="261"/>
      <c r="M34" s="261"/>
      <c r="N34" s="263"/>
      <c r="O34" s="264"/>
      <c r="P34" s="261"/>
      <c r="Q34" s="262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6"/>
      <c r="AD34" s="263"/>
      <c r="AE34" s="265"/>
      <c r="AF34" s="266"/>
      <c r="AG34" s="263"/>
      <c r="AH34" s="266"/>
      <c r="AI34" s="264"/>
      <c r="AJ34" s="261"/>
      <c r="AK34" s="262"/>
      <c r="AL34" s="263"/>
      <c r="AM34" s="265"/>
      <c r="AN34" s="266"/>
      <c r="AO34" s="265"/>
      <c r="AP34" s="147"/>
      <c r="AQ34" s="266"/>
      <c r="AR34" s="265"/>
      <c r="AS34" s="267"/>
      <c r="AT34" s="267"/>
      <c r="AU34" s="145"/>
      <c r="AV34" s="265"/>
      <c r="AW34" s="265"/>
      <c r="AX34" s="265"/>
      <c r="AY34" s="265"/>
      <c r="AZ34" s="268"/>
      <c r="BA34" s="269"/>
      <c r="BB34" s="265"/>
      <c r="BC34" s="265"/>
      <c r="BD34" s="265"/>
      <c r="BE34" s="265"/>
      <c r="BF34" s="265"/>
      <c r="BG34" s="265"/>
      <c r="BH34" s="265"/>
      <c r="BI34" s="147"/>
      <c r="BJ34" s="145"/>
      <c r="BK34" s="265"/>
      <c r="BL34" s="150"/>
      <c r="BM34" s="147"/>
      <c r="BN34" s="2"/>
      <c r="BO34" s="2"/>
      <c r="BP34" s="133"/>
      <c r="BQ34" s="133"/>
      <c r="BR34" s="133"/>
      <c r="BS34" s="25"/>
    </row>
    <row r="35" hidden="1">
      <c r="A35" s="151" t="str">
        <f>IFERROR(__xludf.DUMMYFUNCTION("""COMPUTED_VALUE"""),"April'26")</f>
        <v>April'26</v>
      </c>
      <c r="B35" s="188" t="str">
        <f>IFERROR(__xludf.DUMMYFUNCTION("""COMPUTED_VALUE"""),"Rojukiss - Consign")</f>
        <v>Rojukiss - Consign</v>
      </c>
      <c r="C35" s="153" t="str">
        <f>IFERROR(__xludf.DUMMYFUNCTION("""COMPUTED_VALUE"""),"1001 ROJUKISS INTERNATIONAL PUBLIC COMPANY LIMITED")</f>
        <v>1001 ROJUKISS INTERNATIONAL PUBLIC COMPANY LIMITED</v>
      </c>
      <c r="D35" s="191" t="str">
        <f>IFERROR(__xludf.DUMMYFUNCTION("""COMPUTED_VALUE"""),"JBP")</f>
        <v>JBP</v>
      </c>
      <c r="E35" s="189" t="str">
        <f>IFERROR(__xludf.DUMMYFUNCTION("""COMPUTED_VALUE"""),"Ter")</f>
        <v>Ter</v>
      </c>
      <c r="F35" s="156" t="str">
        <f>IFERROR(__xludf.DUMMYFUNCTION("""COMPUTED_VALUE"""),"Mind")</f>
        <v>Mind</v>
      </c>
      <c r="G35" s="220" t="str">
        <f>IFERROR(__xludf.DUMMYFUNCTION("""COMPUTED_VALUE"""),"JJ")</f>
        <v>JJ</v>
      </c>
      <c r="H35" s="220">
        <f>IFERROR(__xludf.DUMMYFUNCTION("""COMPUTED_VALUE"""),0.12)</f>
        <v>0.12</v>
      </c>
      <c r="I35" s="220">
        <f>IFERROR(__xludf.DUMMYFUNCTION("""COMPUTED_VALUE"""),0.0)</f>
        <v>0</v>
      </c>
      <c r="J35" s="220">
        <f>IFERROR(__xludf.DUMMYFUNCTION("""COMPUTED_VALUE"""),0.0)</f>
        <v>0</v>
      </c>
      <c r="K35" s="270">
        <f>IFERROR(__xludf.DUMMYFUNCTION("""COMPUTED_VALUE"""),0.0)</f>
        <v>0</v>
      </c>
      <c r="L35" s="221">
        <f>IFERROR(__xludf.DUMMYFUNCTION("""COMPUTED_VALUE"""),0.0)</f>
        <v>0</v>
      </c>
      <c r="M35" s="222">
        <f>IFERROR(__xludf.DUMMYFUNCTION("""COMPUTED_VALUE"""),25000.0)</f>
        <v>25000</v>
      </c>
      <c r="N35" s="196"/>
      <c r="O35" s="185"/>
      <c r="P35" s="171">
        <f>IFERROR(__xludf.DUMMYFUNCTION("""COMPUTED_VALUE"""),662022.684964486)</f>
        <v>662022.685</v>
      </c>
      <c r="Q35" s="186">
        <f>IFERROR(__xludf.DUMMYFUNCTION("""COMPUTED_VALUE"""),46341.587947514025)</f>
        <v>46341.58795</v>
      </c>
      <c r="R35" s="171">
        <f>IFERROR(__xludf.DUMMYFUNCTION("""COMPUTED_VALUE"""),708364.2729120001)</f>
        <v>708364.2729</v>
      </c>
      <c r="S35" s="171">
        <f>IFERROR(__xludf.DUMMYFUNCTION("""COMPUTED_VALUE"""),0.0)</f>
        <v>0</v>
      </c>
      <c r="T35" s="164">
        <f>IFERROR(__xludf.DUMMYFUNCTION("""COMPUTED_VALUE"""),0.0)</f>
        <v>0</v>
      </c>
      <c r="U35" s="171">
        <f>IFERROR(__xludf.DUMMYFUNCTION("""COMPUTED_VALUE"""),0.0)</f>
        <v>0</v>
      </c>
      <c r="V35" s="171">
        <f>IFERROR(__xludf.DUMMYFUNCTION("""COMPUTED_VALUE"""),128000.0)</f>
        <v>128000</v>
      </c>
      <c r="W35" s="171">
        <f>IFERROR(__xludf.DUMMYFUNCTION("""COMPUTED_VALUE"""),423739.87336448603)</f>
        <v>423739.8734</v>
      </c>
      <c r="X35" s="165">
        <f>IFERROR(__xludf.DUMMYFUNCTION("""COMPUTED_VALUE"""),110282.81159999999)</f>
        <v>110282.8116</v>
      </c>
      <c r="Y35" s="165">
        <f>IFERROR(__xludf.DUMMYFUNCTION("""COMPUTED_VALUE"""),403384.13)</f>
        <v>403384.13</v>
      </c>
      <c r="Z35" s="165">
        <f>IFERROR(__xludf.DUMMYFUNCTION("""COMPUTED_VALUE"""),75496.98)</f>
        <v>75496.98</v>
      </c>
      <c r="AA35" s="165">
        <f>IFERROR(__xludf.DUMMYFUNCTION("""COMPUTED_VALUE"""),402547.32)</f>
        <v>402547.32</v>
      </c>
      <c r="AB35" s="165">
        <f>IFERROR(__xludf.DUMMYFUNCTION("""COMPUTED_VALUE"""),37595.0)</f>
        <v>37595</v>
      </c>
      <c r="AC35" s="186">
        <f>IFERROR(__xludf.DUMMYFUNCTION("""COMPUTED_VALUE"""),0.0)</f>
        <v>0</v>
      </c>
      <c r="AD35" s="167">
        <f>IFERROR(__xludf.DUMMYFUNCTION("""COMPUTED_VALUE"""),919023.4299999999)</f>
        <v>919023.43</v>
      </c>
      <c r="AE35" s="17"/>
      <c r="AF35" s="168"/>
      <c r="AG35" s="167"/>
      <c r="AH35" s="172"/>
      <c r="AI35" s="185"/>
      <c r="AJ35" s="271">
        <f>IFERROR(__xludf.DUMMYFUNCTION("""COMPUTED_VALUE"""),40000.0)</f>
        <v>40000</v>
      </c>
      <c r="AK35" s="271">
        <f>IFERROR(__xludf.DUMMYFUNCTION("""COMPUTED_VALUE"""),0.0)</f>
        <v>0</v>
      </c>
      <c r="AL35" s="185">
        <f>IFERROR(__xludf.DUMMYFUNCTION("""COMPUTED_VALUE"""),88000.0)</f>
        <v>88000</v>
      </c>
      <c r="AM35" s="171">
        <f>IFERROR(__xludf.DUMMYFUNCTION("""COMPUTED_VALUE"""),0.0)</f>
        <v>0</v>
      </c>
      <c r="AN35" s="168">
        <f>IFERROR(__xludf.DUMMYFUNCTION("""COMPUTED_VALUE"""),400720.35000000003)</f>
        <v>400720.35</v>
      </c>
      <c r="AO35" s="171"/>
      <c r="AP35" s="272">
        <f>IFERROR(__xludf.DUMMYFUNCTION("""COMPUTED_VALUE"""),23019.52336448598)</f>
        <v>23019.52336</v>
      </c>
      <c r="AQ35" s="273" t="str">
        <f>IFERROR(__xludf.DUMMYFUNCTION("""COMPUTED_VALUE"""),"charge w/ KAM")</f>
        <v>charge w/ KAM</v>
      </c>
      <c r="AR35" s="274" t="str">
        <f>IFERROR(__xludf.DUMMYFUNCTION("""COMPUTED_VALUE"""),"charge w/ KAM")</f>
        <v>charge w/ KAM</v>
      </c>
      <c r="AS35" s="275"/>
      <c r="AT35" s="274">
        <f>IFERROR(__xludf.DUMMYFUNCTION("""COMPUTED_VALUE"""),403384.13)</f>
        <v>403384.13</v>
      </c>
      <c r="AU35" s="17"/>
      <c r="AV35" s="275"/>
      <c r="AW35" s="275">
        <f>IFERROR(__xludf.DUMMYFUNCTION("""COMPUTED_VALUE"""),8924.12)</f>
        <v>8924.12</v>
      </c>
      <c r="AX35" s="17">
        <f>IFERROR(__xludf.DUMMYFUNCTION("""COMPUTED_VALUE"""),66572.86)</f>
        <v>66572.86</v>
      </c>
      <c r="AY35" s="17"/>
      <c r="AZ35" s="276"/>
      <c r="BA35" s="233"/>
      <c r="BB35" s="173">
        <f>IFERROR(__xludf.DUMMYFUNCTION("""COMPUTED_VALUE"""),0.0)</f>
        <v>0</v>
      </c>
      <c r="BC35" s="17">
        <f>IFERROR(__xludf.DUMMYFUNCTION("""COMPUTED_VALUE"""),37595.0)</f>
        <v>37595</v>
      </c>
      <c r="BD35" s="17"/>
      <c r="BE35" s="17"/>
      <c r="BF35" s="173"/>
      <c r="BG35" s="17">
        <f>IFERROR(__xludf.DUMMYFUNCTION("""COMPUTED_VALUE"""),400720.35000000003)</f>
        <v>400720.35</v>
      </c>
      <c r="BH35" s="173"/>
      <c r="BI35" s="277">
        <f>IFERROR(__xludf.DUMMYFUNCTION("""COMPUTED_VALUE"""),1826.97)</f>
        <v>1826.97</v>
      </c>
      <c r="BJ35" s="17"/>
      <c r="BK35" s="17"/>
      <c r="BL35" s="179"/>
      <c r="BM35" s="180" t="str">
        <f>IFERROR(__xludf.DUMMYFUNCTION("""COMPUTED_VALUE"""),"Approval")</f>
        <v>Approval</v>
      </c>
      <c r="BN35" s="181">
        <f>IFERROR(__xludf.DUMMYFUNCTION("""COMPUTED_VALUE"""),46146.94331949074)</f>
        <v>46146.94332</v>
      </c>
      <c r="BO35" s="2"/>
      <c r="BP35" s="133"/>
      <c r="BQ35" s="133"/>
      <c r="BR35" s="133"/>
      <c r="BS35" s="25"/>
    </row>
    <row r="36" hidden="1">
      <c r="A36" s="278" t="str">
        <f>IFERROR(__xludf.DUMMYFUNCTION("""COMPUTED_VALUE"""),"April'26")</f>
        <v>April'26</v>
      </c>
      <c r="B36" s="279" t="str">
        <f>IFERROR(__xludf.DUMMYFUNCTION("""COMPUTED_VALUE"""),"Total - Consignment Model")</f>
        <v>Total - Consignment Model</v>
      </c>
      <c r="C36" s="280"/>
      <c r="D36" s="281"/>
      <c r="E36" s="282"/>
      <c r="F36" s="283"/>
      <c r="G36" s="284"/>
      <c r="H36" s="284"/>
      <c r="I36" s="284"/>
      <c r="J36" s="284"/>
      <c r="K36" s="285"/>
      <c r="L36" s="284"/>
      <c r="M36" s="284"/>
      <c r="N36" s="286"/>
      <c r="O36" s="287"/>
      <c r="P36" s="288">
        <f>IFERROR(__xludf.DUMMYFUNCTION("""COMPUTED_VALUE"""),662022.684964486)</f>
        <v>662022.685</v>
      </c>
      <c r="Q36" s="289">
        <f>IFERROR(__xludf.DUMMYFUNCTION("""COMPUTED_VALUE"""),46341.587947514025)</f>
        <v>46341.58795</v>
      </c>
      <c r="R36" s="290">
        <f>IFERROR(__xludf.DUMMYFUNCTION("""COMPUTED_VALUE"""),708364.2729120001)</f>
        <v>708364.2729</v>
      </c>
      <c r="S36" s="288"/>
      <c r="T36" s="288">
        <f>IFERROR(__xludf.DUMMYFUNCTION("""COMPUTED_VALUE"""),0.0)</f>
        <v>0</v>
      </c>
      <c r="U36" s="288">
        <f>IFERROR(__xludf.DUMMYFUNCTION("""COMPUTED_VALUE"""),0.0)</f>
        <v>0</v>
      </c>
      <c r="V36" s="288">
        <f>IFERROR(__xludf.DUMMYFUNCTION("""COMPUTED_VALUE"""),128000.0)</f>
        <v>128000</v>
      </c>
      <c r="W36" s="288">
        <f>IFERROR(__xludf.DUMMYFUNCTION("""COMPUTED_VALUE"""),423739.87336448603)</f>
        <v>423739.8734</v>
      </c>
      <c r="X36" s="288">
        <f>IFERROR(__xludf.DUMMYFUNCTION("""COMPUTED_VALUE"""),110282.81159999999)</f>
        <v>110282.8116</v>
      </c>
      <c r="Y36" s="288">
        <f>IFERROR(__xludf.DUMMYFUNCTION("""COMPUTED_VALUE"""),403384.13)</f>
        <v>403384.13</v>
      </c>
      <c r="Z36" s="288">
        <f>IFERROR(__xludf.DUMMYFUNCTION("""COMPUTED_VALUE"""),75496.98)</f>
        <v>75496.98</v>
      </c>
      <c r="AA36" s="288">
        <f>IFERROR(__xludf.DUMMYFUNCTION("""COMPUTED_VALUE"""),402547.32)</f>
        <v>402547.32</v>
      </c>
      <c r="AB36" s="288">
        <f>IFERROR(__xludf.DUMMYFUNCTION("""COMPUTED_VALUE"""),37595.0)</f>
        <v>37595</v>
      </c>
      <c r="AC36" s="289">
        <f>IFERROR(__xludf.DUMMYFUNCTION("""COMPUTED_VALUE"""),0.0)</f>
        <v>0</v>
      </c>
      <c r="AD36" s="287">
        <f>IFERROR(__xludf.DUMMYFUNCTION("""COMPUTED_VALUE"""),919023.4299999999)</f>
        <v>919023.43</v>
      </c>
      <c r="AE36" s="288">
        <f>IFERROR(__xludf.DUMMYFUNCTION("""COMPUTED_VALUE"""),0.0)</f>
        <v>0</v>
      </c>
      <c r="AF36" s="289">
        <f>IFERROR(__xludf.DUMMYFUNCTION("""COMPUTED_VALUE"""),0.0)</f>
        <v>0</v>
      </c>
      <c r="AG36" s="287">
        <f>IFERROR(__xludf.DUMMYFUNCTION("""COMPUTED_VALUE"""),0.0)</f>
        <v>0</v>
      </c>
      <c r="AH36" s="288">
        <f>IFERROR(__xludf.DUMMYFUNCTION("""COMPUTED_VALUE"""),0.0)</f>
        <v>0</v>
      </c>
      <c r="AI36" s="287">
        <f>IFERROR(__xludf.DUMMYFUNCTION("""COMPUTED_VALUE"""),0.0)</f>
        <v>0</v>
      </c>
      <c r="AJ36" s="288">
        <f>IFERROR(__xludf.DUMMYFUNCTION("""COMPUTED_VALUE"""),40000.0)</f>
        <v>40000</v>
      </c>
      <c r="AK36" s="289">
        <f>IFERROR(__xludf.DUMMYFUNCTION("""COMPUTED_VALUE"""),0.0)</f>
        <v>0</v>
      </c>
      <c r="AL36" s="287">
        <f>IFERROR(__xludf.DUMMYFUNCTION("""COMPUTED_VALUE"""),88000.0)</f>
        <v>88000</v>
      </c>
      <c r="AM36" s="288">
        <f>IFERROR(__xludf.DUMMYFUNCTION("""COMPUTED_VALUE"""),0.0)</f>
        <v>0</v>
      </c>
      <c r="AN36" s="289">
        <f>IFERROR(__xludf.DUMMYFUNCTION("""COMPUTED_VALUE"""),400720.35000000003)</f>
        <v>400720.35</v>
      </c>
      <c r="AO36" s="288">
        <f>IFERROR(__xludf.DUMMYFUNCTION("""COMPUTED_VALUE"""),0.0)</f>
        <v>0</v>
      </c>
      <c r="AP36" s="288">
        <f>IFERROR(__xludf.DUMMYFUNCTION("""COMPUTED_VALUE"""),23019.52336448598)</f>
        <v>23019.52336</v>
      </c>
      <c r="AQ36" s="289">
        <f>IFERROR(__xludf.DUMMYFUNCTION("""COMPUTED_VALUE"""),0.0)</f>
        <v>0</v>
      </c>
      <c r="AR36" s="288">
        <f>IFERROR(__xludf.DUMMYFUNCTION("""COMPUTED_VALUE"""),0.0)</f>
        <v>0</v>
      </c>
      <c r="AS36" s="250">
        <f>IFERROR(__xludf.DUMMYFUNCTION("""COMPUTED_VALUE"""),0.0)</f>
        <v>0</v>
      </c>
      <c r="AT36" s="250">
        <f>IFERROR(__xludf.DUMMYFUNCTION("""COMPUTED_VALUE"""),403384.13)</f>
        <v>403384.13</v>
      </c>
      <c r="AU36" s="288">
        <f>IFERROR(__xludf.DUMMYFUNCTION("""COMPUTED_VALUE"""),0.0)</f>
        <v>0</v>
      </c>
      <c r="AV36" s="288">
        <f>IFERROR(__xludf.DUMMYFUNCTION("""COMPUTED_VALUE"""),0.0)</f>
        <v>0</v>
      </c>
      <c r="AW36" s="288">
        <f>IFERROR(__xludf.DUMMYFUNCTION("""COMPUTED_VALUE"""),8924.12)</f>
        <v>8924.12</v>
      </c>
      <c r="AX36" s="288">
        <f>IFERROR(__xludf.DUMMYFUNCTION("""COMPUTED_VALUE"""),66572.86)</f>
        <v>66572.86</v>
      </c>
      <c r="AY36" s="288">
        <f>IFERROR(__xludf.DUMMYFUNCTION("""COMPUTED_VALUE"""),0.0)</f>
        <v>0</v>
      </c>
      <c r="AZ36" s="291">
        <f>IFERROR(__xludf.DUMMYFUNCTION("""COMPUTED_VALUE"""),0.0)</f>
        <v>0</v>
      </c>
      <c r="BA36" s="292">
        <f>IFERROR(__xludf.DUMMYFUNCTION("""COMPUTED_VALUE"""),0.0)</f>
        <v>0</v>
      </c>
      <c r="BB36" s="288">
        <f>IFERROR(__xludf.DUMMYFUNCTION("""COMPUTED_VALUE"""),0.0)</f>
        <v>0</v>
      </c>
      <c r="BC36" s="288">
        <f>IFERROR(__xludf.DUMMYFUNCTION("""COMPUTED_VALUE"""),37595.0)</f>
        <v>37595</v>
      </c>
      <c r="BD36" s="288">
        <f>IFERROR(__xludf.DUMMYFUNCTION("""COMPUTED_VALUE"""),0.0)</f>
        <v>0</v>
      </c>
      <c r="BE36" s="288">
        <f>IFERROR(__xludf.DUMMYFUNCTION("""COMPUTED_VALUE"""),0.0)</f>
        <v>0</v>
      </c>
      <c r="BF36" s="288">
        <f>IFERROR(__xludf.DUMMYFUNCTION("""COMPUTED_VALUE"""),0.0)</f>
        <v>0</v>
      </c>
      <c r="BG36" s="288">
        <f>IFERROR(__xludf.DUMMYFUNCTION("""COMPUTED_VALUE"""),400720.35000000003)</f>
        <v>400720.35</v>
      </c>
      <c r="BH36" s="288">
        <f>IFERROR(__xludf.DUMMYFUNCTION("""COMPUTED_VALUE"""),0.0)</f>
        <v>0</v>
      </c>
      <c r="BI36" s="288">
        <f>IFERROR(__xludf.DUMMYFUNCTION("""COMPUTED_VALUE"""),1826.97)</f>
        <v>1826.97</v>
      </c>
      <c r="BJ36" s="288">
        <f>IFERROR(__xludf.DUMMYFUNCTION("""COMPUTED_VALUE"""),0.0)</f>
        <v>0</v>
      </c>
      <c r="BK36" s="288">
        <f>IFERROR(__xludf.DUMMYFUNCTION("""COMPUTED_VALUE"""),0.0)</f>
        <v>0</v>
      </c>
      <c r="BL36" s="160">
        <f>IFERROR(__xludf.DUMMYFUNCTION("""COMPUTED_VALUE"""),0.0)</f>
        <v>0</v>
      </c>
      <c r="BM36" s="2"/>
      <c r="BN36" s="2"/>
      <c r="BO36" s="2"/>
      <c r="BP36" s="133"/>
      <c r="BQ36" s="133"/>
      <c r="BR36" s="133"/>
      <c r="BS36" s="25"/>
    </row>
    <row r="37" hidden="1">
      <c r="A37" s="134" t="str">
        <f>IFERROR(__xludf.DUMMYFUNCTION("""COMPUTED_VALUE"""),"April'26")</f>
        <v>April'26</v>
      </c>
      <c r="B37" s="135" t="str">
        <f>IFERROR(__xludf.DUMMYFUNCTION("""COMPUTED_VALUE"""),"Services Model")</f>
        <v>Services Model</v>
      </c>
      <c r="C37" s="136"/>
      <c r="D37" s="137"/>
      <c r="E37" s="138"/>
      <c r="F37" s="139"/>
      <c r="G37" s="140"/>
      <c r="H37" s="141"/>
      <c r="I37" s="141"/>
      <c r="J37" s="141"/>
      <c r="K37" s="142"/>
      <c r="L37" s="141"/>
      <c r="M37" s="141"/>
      <c r="N37" s="143"/>
      <c r="O37" s="144"/>
      <c r="P37" s="141"/>
      <c r="Q37" s="142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6"/>
      <c r="AD37" s="143"/>
      <c r="AE37" s="145"/>
      <c r="AF37" s="146"/>
      <c r="AG37" s="143"/>
      <c r="AH37" s="146"/>
      <c r="AI37" s="144"/>
      <c r="AJ37" s="141"/>
      <c r="AK37" s="142"/>
      <c r="AL37" s="143"/>
      <c r="AM37" s="145"/>
      <c r="AN37" s="146"/>
      <c r="AO37" s="145"/>
      <c r="AP37" s="147"/>
      <c r="AQ37" s="146"/>
      <c r="AR37" s="145"/>
      <c r="AS37" s="145"/>
      <c r="AT37" s="145"/>
      <c r="AU37" s="147"/>
      <c r="AV37" s="145"/>
      <c r="AW37" s="145"/>
      <c r="AX37" s="145"/>
      <c r="AY37" s="145"/>
      <c r="AZ37" s="148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50"/>
      <c r="BM37" s="147"/>
      <c r="BN37" s="2"/>
      <c r="BO37" s="2"/>
      <c r="BP37" s="133"/>
      <c r="BQ37" s="133"/>
      <c r="BR37" s="133"/>
      <c r="BS37" s="25"/>
    </row>
    <row r="38" hidden="1">
      <c r="A38" s="151" t="str">
        <f>IFERROR(__xludf.DUMMYFUNCTION("""COMPUTED_VALUE"""),"April'26")</f>
        <v>April'26</v>
      </c>
      <c r="B38" s="152" t="str">
        <f>IFERROR(__xludf.DUMMYFUNCTION("""COMPUTED_VALUE"""),"Triumph")</f>
        <v>Triumph</v>
      </c>
      <c r="C38" s="190" t="str">
        <f>IFERROR(__xludf.DUMMYFUNCTION("""COMPUTED_VALUE"""),"5169 TRIUMPH INTERNATIONAL (THAILAND) LTD. min 10,000")</f>
        <v>5169 TRIUMPH INTERNATIONAL (THAILAND) LTD. min 10,000</v>
      </c>
      <c r="D38" s="182" t="str">
        <f>IFERROR(__xludf.DUMMYFUNCTION("""COMPUTED_VALUE"""),"Paid by brand")</f>
        <v>Paid by brand</v>
      </c>
      <c r="E38" s="155" t="str">
        <f>IFERROR(__xludf.DUMMYFUNCTION("""COMPUTED_VALUE"""),"Grace")</f>
        <v>Grace</v>
      </c>
      <c r="F38" s="156" t="str">
        <f>IFERROR(__xludf.DUMMYFUNCTION("""COMPUTED_VALUE"""),"Jan")</f>
        <v>Jan</v>
      </c>
      <c r="G38" s="220" t="str">
        <f>IFERROR(__xludf.DUMMYFUNCTION("""COMPUTED_VALUE"""),"Pompam")</f>
        <v>Pompam</v>
      </c>
      <c r="H38" s="220">
        <f>IFERROR(__xludf.DUMMYFUNCTION("""COMPUTED_VALUE"""),0.15)</f>
        <v>0.15</v>
      </c>
      <c r="I38" s="220">
        <f>IFERROR(__xludf.DUMMYFUNCTION("""COMPUTED_VALUE"""),0.0)</f>
        <v>0</v>
      </c>
      <c r="J38" s="220">
        <f>IFERROR(__xludf.DUMMYFUNCTION("""COMPUTED_VALUE"""),0.0)</f>
        <v>0</v>
      </c>
      <c r="K38" s="270">
        <f>IFERROR(__xludf.DUMMYFUNCTION("""COMPUTED_VALUE"""),0.0)</f>
        <v>0</v>
      </c>
      <c r="L38" s="221">
        <f>IFERROR(__xludf.DUMMYFUNCTION("""COMPUTED_VALUE"""),0.0)</f>
        <v>0</v>
      </c>
      <c r="M38" s="222">
        <f>IFERROR(__xludf.DUMMYFUNCTION("""COMPUTED_VALUE"""),15000.0)</f>
        <v>15000</v>
      </c>
      <c r="N38" s="238"/>
      <c r="O38" s="184"/>
      <c r="P38" s="164">
        <f>IFERROR(__xludf.DUMMYFUNCTION("""COMPUTED_VALUE"""),22978.86)</f>
        <v>22978.86</v>
      </c>
      <c r="Q38" s="166">
        <f>IFERROR(__xludf.DUMMYFUNCTION("""COMPUTED_VALUE"""),1608.5202000000002)</f>
        <v>1608.5202</v>
      </c>
      <c r="R38" s="164">
        <f>IFERROR(__xludf.DUMMYFUNCTION("""COMPUTED_VALUE"""),24587.3802)</f>
        <v>24587.3802</v>
      </c>
      <c r="S38" s="164">
        <f>IFERROR(__xludf.DUMMYFUNCTION("""COMPUTED_VALUE"""),0.0)</f>
        <v>0</v>
      </c>
      <c r="T38" s="164">
        <f>IFERROR(__xludf.DUMMYFUNCTION("""COMPUTED_VALUE"""),0.0)</f>
        <v>0</v>
      </c>
      <c r="U38" s="164">
        <f>IFERROR(__xludf.DUMMYFUNCTION("""COMPUTED_VALUE"""),0.0)</f>
        <v>0</v>
      </c>
      <c r="V38" s="164">
        <f>IFERROR(__xludf.DUMMYFUNCTION("""COMPUTED_VALUE"""),0.0)</f>
        <v>0</v>
      </c>
      <c r="W38" s="164">
        <f>IFERROR(__xludf.DUMMYFUNCTION("""COMPUTED_VALUE"""),7978.86)</f>
        <v>7978.86</v>
      </c>
      <c r="X38" s="165">
        <f>IFERROR(__xludf.DUMMYFUNCTION("""COMPUTED_VALUE"""),15000.0)</f>
        <v>15000</v>
      </c>
      <c r="Y38" s="165">
        <f>IFERROR(__xludf.DUMMYFUNCTION("""COMPUTED_VALUE"""),51343.14)</f>
        <v>51343.14</v>
      </c>
      <c r="Z38" s="165">
        <f>IFERROR(__xludf.DUMMYFUNCTION("""COMPUTED_VALUE"""),35056.34)</f>
        <v>35056.34</v>
      </c>
      <c r="AA38" s="165">
        <f>IFERROR(__xludf.DUMMYFUNCTION("""COMPUTED_VALUE"""),0.0)</f>
        <v>0</v>
      </c>
      <c r="AB38" s="165">
        <f>IFERROR(__xludf.DUMMYFUNCTION("""COMPUTED_VALUE"""),7978.86)</f>
        <v>7978.86</v>
      </c>
      <c r="AC38" s="166">
        <f>IFERROR(__xludf.DUMMYFUNCTION("""COMPUTED_VALUE"""),0.0)</f>
        <v>0</v>
      </c>
      <c r="AD38" s="167">
        <f>IFERROR(__xludf.DUMMYFUNCTION("""COMPUTED_VALUE"""),94378.34)</f>
        <v>94378.34</v>
      </c>
      <c r="AE38" s="17"/>
      <c r="AF38" s="168"/>
      <c r="AG38" s="167"/>
      <c r="AH38" s="168"/>
      <c r="AI38" s="167"/>
      <c r="AJ38" s="17"/>
      <c r="AK38" s="168"/>
      <c r="AL38" s="185"/>
      <c r="AM38" s="277">
        <f>IFERROR(__xludf.DUMMYFUNCTION("""COMPUTED_VALUE"""),7978.86)</f>
        <v>7978.86</v>
      </c>
      <c r="AN38" s="293"/>
      <c r="AO38" s="277"/>
      <c r="AP38" s="277"/>
      <c r="AQ38" s="293"/>
      <c r="AR38" s="277"/>
      <c r="AS38" s="175"/>
      <c r="AT38" s="277">
        <f>IFERROR(__xludf.DUMMYFUNCTION("""COMPUTED_VALUE"""),28167.35)</f>
        <v>28167.35</v>
      </c>
      <c r="AU38" s="175"/>
      <c r="AV38" s="175">
        <f>IFERROR(__xludf.DUMMYFUNCTION("""COMPUTED_VALUE"""),23175.79)</f>
        <v>23175.79</v>
      </c>
      <c r="AW38" s="175">
        <f>IFERROR(__xludf.DUMMYFUNCTION("""COMPUTED_VALUE"""),14060.23)</f>
        <v>14060.23</v>
      </c>
      <c r="AX38" s="175">
        <f>IFERROR(__xludf.DUMMYFUNCTION("""COMPUTED_VALUE"""),12198.95)</f>
        <v>12198.95</v>
      </c>
      <c r="AY38" s="277">
        <f>IFERROR(__xludf.DUMMYFUNCTION("""COMPUTED_VALUE"""),8797.16)</f>
        <v>8797.16</v>
      </c>
      <c r="AZ38" s="294"/>
      <c r="BA38" s="295"/>
      <c r="BB38" s="296">
        <f>IFERROR(__xludf.DUMMYFUNCTION("""COMPUTED_VALUE"""),7978.86)</f>
        <v>7978.86</v>
      </c>
      <c r="BC38" s="187">
        <f>IFERROR(__xludf.DUMMYFUNCTION("""COMPUTED_VALUE"""),0.0)</f>
        <v>0</v>
      </c>
      <c r="BD38" s="17"/>
      <c r="BE38" s="17"/>
      <c r="BF38" s="17"/>
      <c r="BG38" s="17"/>
      <c r="BH38" s="17"/>
      <c r="BI38" s="17"/>
      <c r="BJ38" s="17"/>
      <c r="BK38" s="17"/>
      <c r="BL38" s="179"/>
      <c r="BM38" s="180" t="str">
        <f>IFERROR(__xludf.DUMMYFUNCTION("""COMPUTED_VALUE"""),"Approval")</f>
        <v>Approval</v>
      </c>
      <c r="BN38" s="181">
        <f>IFERROR(__xludf.DUMMYFUNCTION("""COMPUTED_VALUE"""),46148.39068496528)</f>
        <v>46148.39068</v>
      </c>
      <c r="BO38" s="2"/>
      <c r="BP38" s="133"/>
      <c r="BQ38" s="133"/>
      <c r="BR38" s="133"/>
      <c r="BS38" s="25"/>
    </row>
    <row r="39" hidden="1">
      <c r="A39" s="151" t="str">
        <f>IFERROR(__xludf.DUMMYFUNCTION("""COMPUTED_VALUE"""),"April'26")</f>
        <v>April'26</v>
      </c>
      <c r="B39" s="188" t="str">
        <f>IFERROR(__xludf.DUMMYFUNCTION("""COMPUTED_VALUE"""),"Under Armour TH")</f>
        <v>Under Armour TH</v>
      </c>
      <c r="C39" s="190" t="str">
        <f>IFERROR(__xludf.DUMMYFUNCTION("""COMPUTED_VALUE"""),"5757 UA Sport (Thailand) Co., Ltd.")</f>
        <v>5757 UA Sport (Thailand) Co., Ltd.</v>
      </c>
      <c r="D39" s="191" t="str">
        <f>IFERROR(__xludf.DUMMYFUNCTION("""COMPUTED_VALUE"""),"Paid by brand")</f>
        <v>Paid by brand</v>
      </c>
      <c r="E39" s="219" t="str">
        <f>IFERROR(__xludf.DUMMYFUNCTION("""COMPUTED_VALUE"""),"Earn")</f>
        <v>Earn</v>
      </c>
      <c r="F39" s="239" t="str">
        <f>IFERROR(__xludf.DUMMYFUNCTION("""COMPUTED_VALUE"""),"Jan")</f>
        <v>Jan</v>
      </c>
      <c r="G39" s="297" t="str">
        <f>IFERROR(__xludf.DUMMYFUNCTION("""COMPUTED_VALUE"""),"JJ")</f>
        <v>JJ</v>
      </c>
      <c r="H39" s="220">
        <f>IFERROR(__xludf.DUMMYFUNCTION("""COMPUTED_VALUE"""),0.12)</f>
        <v>0.12</v>
      </c>
      <c r="I39" s="220">
        <f>IFERROR(__xludf.DUMMYFUNCTION("""COMPUTED_VALUE"""),0.0)</f>
        <v>0</v>
      </c>
      <c r="J39" s="220">
        <f>IFERROR(__xludf.DUMMYFUNCTION("""COMPUTED_VALUE"""),0.0)</f>
        <v>0</v>
      </c>
      <c r="K39" s="270">
        <f>IFERROR(__xludf.DUMMYFUNCTION("""COMPUTED_VALUE"""),0.0)</f>
        <v>0</v>
      </c>
      <c r="L39" s="221">
        <f>IFERROR(__xludf.DUMMYFUNCTION("""COMPUTED_VALUE"""),0.0)</f>
        <v>0</v>
      </c>
      <c r="M39" s="157">
        <f>IFERROR(__xludf.DUMMYFUNCTION("""COMPUTED_VALUE"""),20000.0)</f>
        <v>20000</v>
      </c>
      <c r="N39" s="298">
        <f>IFERROR(__xludf.DUMMYFUNCTION("""COMPUTED_VALUE"""),0.0)</f>
        <v>0</v>
      </c>
      <c r="O39" s="185"/>
      <c r="P39" s="171">
        <f>IFERROR(__xludf.DUMMYFUNCTION("""COMPUTED_VALUE"""),0.0)</f>
        <v>0</v>
      </c>
      <c r="Q39" s="186">
        <f>IFERROR(__xludf.DUMMYFUNCTION("""COMPUTED_VALUE"""),0.0)</f>
        <v>0</v>
      </c>
      <c r="R39" s="164">
        <f>IFERROR(__xludf.DUMMYFUNCTION("""COMPUTED_VALUE"""),0.0)</f>
        <v>0</v>
      </c>
      <c r="S39" s="171">
        <f>IFERROR(__xludf.DUMMYFUNCTION("""COMPUTED_VALUE"""),0.0)</f>
        <v>0</v>
      </c>
      <c r="T39" s="171">
        <f>IFERROR(__xludf.DUMMYFUNCTION("""COMPUTED_VALUE"""),0.0)</f>
        <v>0</v>
      </c>
      <c r="U39" s="171">
        <f>IFERROR(__xludf.DUMMYFUNCTION("""COMPUTED_VALUE"""),0.0)</f>
        <v>0</v>
      </c>
      <c r="V39" s="171">
        <f>IFERROR(__xludf.DUMMYFUNCTION("""COMPUTED_VALUE"""),0.0)</f>
        <v>0</v>
      </c>
      <c r="W39" s="171">
        <f>IFERROR(__xludf.DUMMYFUNCTION("""COMPUTED_VALUE"""),0.0)</f>
        <v>0</v>
      </c>
      <c r="X39" s="165" t="str">
        <f>IFERROR(__xludf.DUMMYFUNCTION("""COMPUTED_VALUE"""),"0")</f>
        <v>0</v>
      </c>
      <c r="Y39" s="165">
        <f>IFERROR(__xludf.DUMMYFUNCTION("""COMPUTED_VALUE"""),0.0)</f>
        <v>0</v>
      </c>
      <c r="Z39" s="165">
        <f>IFERROR(__xludf.DUMMYFUNCTION("""COMPUTED_VALUE"""),0.0)</f>
        <v>0</v>
      </c>
      <c r="AA39" s="165">
        <f>IFERROR(__xludf.DUMMYFUNCTION("""COMPUTED_VALUE"""),0.0)</f>
        <v>0</v>
      </c>
      <c r="AB39" s="165">
        <f>IFERROR(__xludf.DUMMYFUNCTION("""COMPUTED_VALUE"""),0.0)</f>
        <v>0</v>
      </c>
      <c r="AC39" s="186">
        <f>IFERROR(__xludf.DUMMYFUNCTION("""COMPUTED_VALUE"""),0.0)</f>
        <v>0</v>
      </c>
      <c r="AD39" s="167">
        <f>IFERROR(__xludf.DUMMYFUNCTION("""COMPUTED_VALUE"""),0.0)</f>
        <v>0</v>
      </c>
      <c r="AE39" s="17"/>
      <c r="AF39" s="168"/>
      <c r="AG39" s="167"/>
      <c r="AH39" s="168"/>
      <c r="AI39" s="167"/>
      <c r="AJ39" s="17"/>
      <c r="AK39" s="168"/>
      <c r="AL39" s="167"/>
      <c r="AM39" s="171"/>
      <c r="AN39" s="168">
        <f>IFERROR(__xludf.DUMMYFUNCTION("""COMPUTED_VALUE"""),0.0)</f>
        <v>0</v>
      </c>
      <c r="AO39" s="17"/>
      <c r="AP39" s="17"/>
      <c r="AQ39" s="168"/>
      <c r="AR39" s="17"/>
      <c r="AS39" s="17"/>
      <c r="AT39" s="17"/>
      <c r="AU39" s="17"/>
      <c r="AV39" s="133"/>
      <c r="AW39" s="133"/>
      <c r="AX39" s="17"/>
      <c r="AY39" s="17"/>
      <c r="AZ39" s="176"/>
      <c r="BA39" s="177"/>
      <c r="BB39" s="17"/>
      <c r="BC39" s="187"/>
      <c r="BD39" s="17"/>
      <c r="BE39" s="17"/>
      <c r="BF39" s="17"/>
      <c r="BG39" s="17"/>
      <c r="BH39" s="17"/>
      <c r="BI39" s="17"/>
      <c r="BJ39" s="17"/>
      <c r="BK39" s="17"/>
      <c r="BL39" s="195"/>
      <c r="BM39" s="181"/>
      <c r="BN39" s="181" t="str">
        <f>IFERROR(__xludf.DUMMYFUNCTION("""COMPUTED_VALUE"""),"")</f>
        <v/>
      </c>
      <c r="BO39" s="2"/>
      <c r="BP39" s="133"/>
      <c r="BQ39" s="133"/>
      <c r="BR39" s="133"/>
      <c r="BS39" s="25"/>
    </row>
    <row r="40" hidden="1">
      <c r="A40" s="151" t="str">
        <f>IFERROR(__xludf.DUMMYFUNCTION("""COMPUTED_VALUE"""),"April'26")</f>
        <v>April'26</v>
      </c>
      <c r="B40" s="152" t="str">
        <f>IFERROR(__xludf.DUMMYFUNCTION("""COMPUTED_VALUE"""),"Oceanglass (10th due) ")</f>
        <v>Oceanglass (10th due) </v>
      </c>
      <c r="C40" s="190" t="str">
        <f>IFERROR(__xludf.DUMMYFUNCTION("""COMPUTED_VALUE"""),"5788 Ocean Glass Public Company Limited")</f>
        <v>5788 Ocean Glass Public Company Limited</v>
      </c>
      <c r="D40" s="219" t="str">
        <f>IFERROR(__xludf.DUMMYFUNCTION("""COMPUTED_VALUE"""),"Paid by brand")</f>
        <v>Paid by brand</v>
      </c>
      <c r="E40" s="299" t="str">
        <f>IFERROR(__xludf.DUMMYFUNCTION("""COMPUTED_VALUE"""),"Yok")</f>
        <v>Yok</v>
      </c>
      <c r="F40" s="239"/>
      <c r="G40" s="300" t="str">
        <f>IFERROR(__xludf.DUMMYFUNCTION("""COMPUTED_VALUE"""),"Pompam")</f>
        <v>Pompam</v>
      </c>
      <c r="H40" s="301">
        <f>IFERROR(__xludf.DUMMYFUNCTION("""COMPUTED_VALUE"""),0.15)</f>
        <v>0.15</v>
      </c>
      <c r="I40" s="301">
        <f>IFERROR(__xludf.DUMMYFUNCTION("""COMPUTED_VALUE"""),0.0)</f>
        <v>0</v>
      </c>
      <c r="J40" s="301">
        <f>IFERROR(__xludf.DUMMYFUNCTION("""COMPUTED_VALUE"""),0.0)</f>
        <v>0</v>
      </c>
      <c r="K40" s="302">
        <f>IFERROR(__xludf.DUMMYFUNCTION("""COMPUTED_VALUE"""),0.0)</f>
        <v>0</v>
      </c>
      <c r="L40" s="303">
        <f>IFERROR(__xludf.DUMMYFUNCTION("""COMPUTED_VALUE"""),0.0)</f>
        <v>0</v>
      </c>
      <c r="M40" s="222">
        <f>IFERROR(__xludf.DUMMYFUNCTION("""COMPUTED_VALUE"""),35000.0)</f>
        <v>35000</v>
      </c>
      <c r="N40" s="238"/>
      <c r="O40" s="184"/>
      <c r="P40" s="164">
        <f>IFERROR(__xludf.DUMMYFUNCTION("""COMPUTED_VALUE"""),41535.52049999999)</f>
        <v>41535.5205</v>
      </c>
      <c r="Q40" s="166">
        <f>IFERROR(__xludf.DUMMYFUNCTION("""COMPUTED_VALUE"""),2907.486435)</f>
        <v>2907.486435</v>
      </c>
      <c r="R40" s="164">
        <f>IFERROR(__xludf.DUMMYFUNCTION("""COMPUTED_VALUE"""),44443.00693499999)</f>
        <v>44443.00694</v>
      </c>
      <c r="S40" s="164">
        <f>IFERROR(__xludf.DUMMYFUNCTION("""COMPUTED_VALUE"""),0.0)</f>
        <v>0</v>
      </c>
      <c r="T40" s="164">
        <f>IFERROR(__xludf.DUMMYFUNCTION("""COMPUTED_VALUE"""),0.0)</f>
        <v>0</v>
      </c>
      <c r="U40" s="164">
        <f>IFERROR(__xludf.DUMMYFUNCTION("""COMPUTED_VALUE"""),0.0)</f>
        <v>0</v>
      </c>
      <c r="V40" s="164">
        <f>IFERROR(__xludf.DUMMYFUNCTION("""COMPUTED_VALUE"""),0.0)</f>
        <v>0</v>
      </c>
      <c r="W40" s="164">
        <f>IFERROR(__xludf.DUMMYFUNCTION("""COMPUTED_VALUE"""),0.0)</f>
        <v>0</v>
      </c>
      <c r="X40" s="165">
        <f>IFERROR(__xludf.DUMMYFUNCTION("""COMPUTED_VALUE"""),41535.52049999999)</f>
        <v>41535.5205</v>
      </c>
      <c r="Y40" s="165">
        <f>IFERROR(__xludf.DUMMYFUNCTION("""COMPUTED_VALUE"""),112492.95)</f>
        <v>112492.95</v>
      </c>
      <c r="Z40" s="165">
        <f>IFERROR(__xludf.DUMMYFUNCTION("""COMPUTED_VALUE"""),32765.81)</f>
        <v>32765.81</v>
      </c>
      <c r="AA40" s="165">
        <f>IFERROR(__xludf.DUMMYFUNCTION("""COMPUTED_VALUE"""),106038.4)</f>
        <v>106038.4</v>
      </c>
      <c r="AB40" s="165">
        <f>IFERROR(__xludf.DUMMYFUNCTION("""COMPUTED_VALUE"""),25606.31)</f>
        <v>25606.31</v>
      </c>
      <c r="AC40" s="166">
        <f>IFERROR(__xludf.DUMMYFUNCTION("""COMPUTED_VALUE"""),0.0)</f>
        <v>0</v>
      </c>
      <c r="AD40" s="167">
        <f>IFERROR(__xludf.DUMMYFUNCTION("""COMPUTED_VALUE"""),276903.47)</f>
        <v>276903.47</v>
      </c>
      <c r="AE40" s="17"/>
      <c r="AF40" s="168"/>
      <c r="AG40" s="167"/>
      <c r="AH40" s="168"/>
      <c r="AI40" s="167"/>
      <c r="AJ40" s="17"/>
      <c r="AK40" s="168"/>
      <c r="AL40" s="304"/>
      <c r="AM40" s="305" t="str">
        <f>IFERROR(__xludf.DUMMYFUNCTION("""COMPUTED_VALUE"""),"Run under brand BM")</f>
        <v>Run under brand BM</v>
      </c>
      <c r="AN40" s="306" t="str">
        <f>IFERROR(__xludf.DUMMYFUNCTION("""COMPUTED_VALUE"""),"Run under brand BM")</f>
        <v>Run under brand BM</v>
      </c>
      <c r="AO40" s="17" t="str">
        <f>IFERROR(__xludf.DUMMYFUNCTION("""COMPUTED_VALUE"""),"Run under brand BM")</f>
        <v>Run under brand BM</v>
      </c>
      <c r="AP40" s="17"/>
      <c r="AQ40" s="168"/>
      <c r="AR40" s="173"/>
      <c r="AS40" s="173">
        <f>IFERROR(__xludf.DUMMYFUNCTION("""COMPUTED_VALUE"""),15677.23)</f>
        <v>15677.23</v>
      </c>
      <c r="AT40" s="173">
        <f>IFERROR(__xludf.DUMMYFUNCTION("""COMPUTED_VALUE"""),95016.1)</f>
        <v>95016.1</v>
      </c>
      <c r="AU40" s="17">
        <f>IFERROR(__xludf.DUMMYFUNCTION("""COMPUTED_VALUE"""),1799.62)</f>
        <v>1799.62</v>
      </c>
      <c r="AV40" s="173"/>
      <c r="AW40" s="173">
        <f>IFERROR(__xludf.DUMMYFUNCTION("""COMPUTED_VALUE"""),27325.350000000002)</f>
        <v>27325.35</v>
      </c>
      <c r="AX40" s="17">
        <f>IFERROR(__xludf.DUMMYFUNCTION("""COMPUTED_VALUE"""),5440.46)</f>
        <v>5440.46</v>
      </c>
      <c r="AY40" s="17"/>
      <c r="AZ40" s="176"/>
      <c r="BA40" s="307"/>
      <c r="BB40" s="308">
        <f>IFERROR(__xludf.DUMMYFUNCTION("""COMPUTED_VALUE"""),10788.44)</f>
        <v>10788.44</v>
      </c>
      <c r="BC40" s="187">
        <f>IFERROR(__xludf.DUMMYFUNCTION("""COMPUTED_VALUE"""),14817.87)</f>
        <v>14817.87</v>
      </c>
      <c r="BD40" s="17"/>
      <c r="BE40" s="17"/>
      <c r="BF40" s="308"/>
      <c r="BG40" s="17">
        <f>IFERROR(__xludf.DUMMYFUNCTION("""COMPUTED_VALUE"""),106038.4)</f>
        <v>106038.4</v>
      </c>
      <c r="BH40" s="17"/>
      <c r="BI40" s="17"/>
      <c r="BJ40" s="17"/>
      <c r="BK40" s="17"/>
      <c r="BL40" s="179"/>
      <c r="BM40" s="180" t="str">
        <f>IFERROR(__xludf.DUMMYFUNCTION("""COMPUTED_VALUE"""),"Approval")</f>
        <v>Approval</v>
      </c>
      <c r="BN40" s="181">
        <f>IFERROR(__xludf.DUMMYFUNCTION("""COMPUTED_VALUE"""),46147.530752824074)</f>
        <v>46147.53075</v>
      </c>
      <c r="BO40" s="2"/>
      <c r="BP40" s="133"/>
      <c r="BQ40" s="133"/>
      <c r="BR40" s="133"/>
      <c r="BS40" s="25"/>
    </row>
    <row r="41" hidden="1">
      <c r="A41" s="151" t="str">
        <f>IFERROR(__xludf.DUMMYFUNCTION("""COMPUTED_VALUE"""),"April'26")</f>
        <v>April'26</v>
      </c>
      <c r="B41" s="188" t="str">
        <f>IFERROR(__xludf.DUMMYFUNCTION("""COMPUTED_VALUE"""),"SAMSUNG - CE")</f>
        <v>SAMSUNG - CE</v>
      </c>
      <c r="C41" s="190" t="str">
        <f>IFERROR(__xludf.DUMMYFUNCTION("""COMPUTED_VALUE"""),"5868 Thai Samsung Electronics Co., Ltd.")</f>
        <v>5868 Thai Samsung Electronics Co., Ltd.</v>
      </c>
      <c r="D41" s="191" t="str">
        <f>IFERROR(__xludf.DUMMYFUNCTION("""COMPUTED_VALUE"""),"JBP")</f>
        <v>JBP</v>
      </c>
      <c r="E41" s="189" t="str">
        <f>IFERROR(__xludf.DUMMYFUNCTION("""COMPUTED_VALUE"""),"Title")</f>
        <v>Title</v>
      </c>
      <c r="F41" s="239" t="str">
        <f>IFERROR(__xludf.DUMMYFUNCTION("""COMPUTED_VALUE"""),"BB &amp; Mil")</f>
        <v>BB &amp; Mil</v>
      </c>
      <c r="G41" s="297" t="str">
        <f>IFERROR(__xludf.DUMMYFUNCTION("""COMPUTED_VALUE"""),"Pompam")</f>
        <v>Pompam</v>
      </c>
      <c r="H41" s="220">
        <f>IFERROR(__xludf.DUMMYFUNCTION("""COMPUTED_VALUE"""),0.1)</f>
        <v>0.1</v>
      </c>
      <c r="I41" s="220">
        <f>IFERROR(__xludf.DUMMYFUNCTION("""COMPUTED_VALUE"""),0.0)</f>
        <v>0</v>
      </c>
      <c r="J41" s="220">
        <f>IFERROR(__xludf.DUMMYFUNCTION("""COMPUTED_VALUE"""),0.0)</f>
        <v>0</v>
      </c>
      <c r="K41" s="270">
        <f>IFERROR(__xludf.DUMMYFUNCTION("""COMPUTED_VALUE"""),0.0)</f>
        <v>0</v>
      </c>
      <c r="L41" s="220">
        <f>IFERROR(__xludf.DUMMYFUNCTION("""COMPUTED_VALUE"""),0.0)</f>
        <v>0</v>
      </c>
      <c r="M41" s="3">
        <f>IFERROR(__xludf.DUMMYFUNCTION("""COMPUTED_VALUE"""),0.0)</f>
        <v>0</v>
      </c>
      <c r="N41" s="160"/>
      <c r="O41" s="185"/>
      <c r="P41" s="171">
        <f>IFERROR(__xludf.DUMMYFUNCTION("""COMPUTED_VALUE"""),282351.899)</f>
        <v>282351.899</v>
      </c>
      <c r="Q41" s="186">
        <f>IFERROR(__xludf.DUMMYFUNCTION("""COMPUTED_VALUE"""),19764.63293)</f>
        <v>19764.63293</v>
      </c>
      <c r="R41" s="164">
        <f>IFERROR(__xludf.DUMMYFUNCTION("""COMPUTED_VALUE"""),302116.53193)</f>
        <v>302116.5319</v>
      </c>
      <c r="S41" s="171">
        <f>IFERROR(__xludf.DUMMYFUNCTION("""COMPUTED_VALUE"""),0.0)</f>
        <v>0</v>
      </c>
      <c r="T41" s="171">
        <f>IFERROR(__xludf.DUMMYFUNCTION("""COMPUTED_VALUE"""),0.0)</f>
        <v>0</v>
      </c>
      <c r="U41" s="171">
        <f>IFERROR(__xludf.DUMMYFUNCTION("""COMPUTED_VALUE"""),0.0)</f>
        <v>0</v>
      </c>
      <c r="V41" s="171">
        <f>IFERROR(__xludf.DUMMYFUNCTION("""COMPUTED_VALUE"""),0.0)</f>
        <v>0</v>
      </c>
      <c r="W41" s="171">
        <f>IFERROR(__xludf.DUMMYFUNCTION("""COMPUTED_VALUE"""),138304.55)</f>
        <v>138304.55</v>
      </c>
      <c r="X41" s="165">
        <f>IFERROR(__xludf.DUMMYFUNCTION("""COMPUTED_VALUE"""),144047.349)</f>
        <v>144047.349</v>
      </c>
      <c r="Y41" s="165">
        <f>IFERROR(__xludf.DUMMYFUNCTION("""COMPUTED_VALUE"""),1051576.39)</f>
        <v>1051576.39</v>
      </c>
      <c r="Z41" s="165">
        <f>IFERROR(__xludf.DUMMYFUNCTION("""COMPUTED_VALUE"""),249814.98)</f>
        <v>249814.98</v>
      </c>
      <c r="AA41" s="165">
        <f>IFERROR(__xludf.DUMMYFUNCTION("""COMPUTED_VALUE"""),139082.12)</f>
        <v>139082.12</v>
      </c>
      <c r="AB41" s="165">
        <f>IFERROR(__xludf.DUMMYFUNCTION("""COMPUTED_VALUE"""),0.0)</f>
        <v>0</v>
      </c>
      <c r="AC41" s="186">
        <f>IFERROR(__xludf.DUMMYFUNCTION("""COMPUTED_VALUE"""),0.0)</f>
        <v>0</v>
      </c>
      <c r="AD41" s="160">
        <f>IFERROR(__xludf.DUMMYFUNCTION("""COMPUTED_VALUE"""),1440473.4899999998)</f>
        <v>1440473.49</v>
      </c>
      <c r="AE41" s="133"/>
      <c r="AF41" s="172"/>
      <c r="AG41" s="160"/>
      <c r="AH41" s="172"/>
      <c r="AI41" s="167"/>
      <c r="AJ41" s="17"/>
      <c r="AK41" s="168"/>
      <c r="AL41" s="167"/>
      <c r="AM41" s="171"/>
      <c r="AN41" s="168">
        <f>IFERROR(__xludf.DUMMYFUNCTION("""COMPUTED_VALUE"""),138304.55)</f>
        <v>138304.55</v>
      </c>
      <c r="AO41" s="17"/>
      <c r="AP41" s="17"/>
      <c r="AQ41" s="168"/>
      <c r="AR41" s="173"/>
      <c r="AS41" s="173">
        <f>IFERROR(__xludf.DUMMYFUNCTION("""COMPUTED_VALUE"""),38369.32)</f>
        <v>38369.32</v>
      </c>
      <c r="AT41" s="173">
        <f>IFERROR(__xludf.DUMMYFUNCTION("""COMPUTED_VALUE"""),646682.47)</f>
        <v>646682.47</v>
      </c>
      <c r="AU41" s="173">
        <f>IFERROR(__xludf.DUMMYFUNCTION("""COMPUTED_VALUE"""),17885.16)</f>
        <v>17885.16</v>
      </c>
      <c r="AV41" s="173">
        <f>IFERROR(__xludf.DUMMYFUNCTION("""COMPUTED_VALUE"""),348639.44)</f>
        <v>348639.44</v>
      </c>
      <c r="AW41" s="173">
        <f>IFERROR(__xludf.DUMMYFUNCTION("""COMPUTED_VALUE"""),205346.66)</f>
        <v>205346.66</v>
      </c>
      <c r="AX41" s="173">
        <f>IFERROR(__xludf.DUMMYFUNCTION("""COMPUTED_VALUE"""),25772.41)</f>
        <v>25772.41</v>
      </c>
      <c r="AY41" s="17">
        <f>IFERROR(__xludf.DUMMYFUNCTION("""COMPUTED_VALUE"""),18695.91)</f>
        <v>18695.91</v>
      </c>
      <c r="AZ41" s="176"/>
      <c r="BA41" s="177"/>
      <c r="BB41" s="17"/>
      <c r="BC41" s="187"/>
      <c r="BD41" s="17"/>
      <c r="BE41" s="17"/>
      <c r="BF41" s="173"/>
      <c r="BG41" s="17">
        <f>IFERROR(__xludf.DUMMYFUNCTION("""COMPUTED_VALUE"""),138304.55)</f>
        <v>138304.55</v>
      </c>
      <c r="BH41" s="173"/>
      <c r="BI41" s="17">
        <f>IFERROR(__xludf.DUMMYFUNCTION("""COMPUTED_VALUE"""),777.57)</f>
        <v>777.57</v>
      </c>
      <c r="BJ41" s="17"/>
      <c r="BK41" s="17"/>
      <c r="BL41" s="179"/>
      <c r="BM41" s="180" t="str">
        <f>IFERROR(__xludf.DUMMYFUNCTION("""COMPUTED_VALUE"""),"Approval")</f>
        <v>Approval</v>
      </c>
      <c r="BN41" s="181">
        <f>IFERROR(__xludf.DUMMYFUNCTION("""COMPUTED_VALUE"""),46148.39069988426)</f>
        <v>46148.3907</v>
      </c>
      <c r="BO41" s="171"/>
      <c r="BP41" s="133">
        <f>IFERROR(__xludf.DUMMYFUNCTION("""COMPUTED_VALUE"""),89686.52)</f>
        <v>89686.52</v>
      </c>
      <c r="BQ41" s="133"/>
      <c r="BR41" s="133"/>
      <c r="BS41" s="25"/>
    </row>
    <row r="42" hidden="1">
      <c r="A42" s="151" t="str">
        <f>IFERROR(__xludf.DUMMYFUNCTION("""COMPUTED_VALUE"""),"April'26")</f>
        <v>April'26</v>
      </c>
      <c r="B42" s="188" t="str">
        <f>IFERROR(__xludf.DUMMYFUNCTION("""COMPUTED_VALUE"""),"SAMSUNG - MX")</f>
        <v>SAMSUNG - MX</v>
      </c>
      <c r="C42" s="190" t="str">
        <f>IFERROR(__xludf.DUMMYFUNCTION("""COMPUTED_VALUE"""),"5868 Thai Samsung Electronics Co., Ltd.")</f>
        <v>5868 Thai Samsung Electronics Co., Ltd.</v>
      </c>
      <c r="D42" s="191" t="str">
        <f>IFERROR(__xludf.DUMMYFUNCTION("""COMPUTED_VALUE"""),"JBP")</f>
        <v>JBP</v>
      </c>
      <c r="E42" s="189" t="str">
        <f>IFERROR(__xludf.DUMMYFUNCTION("""COMPUTED_VALUE"""),"Title")</f>
        <v>Title</v>
      </c>
      <c r="F42" s="239" t="str">
        <f>IFERROR(__xludf.DUMMYFUNCTION("""COMPUTED_VALUE"""),"BB &amp; Mil")</f>
        <v>BB &amp; Mil</v>
      </c>
      <c r="G42" s="297" t="str">
        <f>IFERROR(__xludf.DUMMYFUNCTION("""COMPUTED_VALUE"""),"Pompam")</f>
        <v>Pompam</v>
      </c>
      <c r="H42" s="220">
        <f>IFERROR(__xludf.DUMMYFUNCTION("""COMPUTED_VALUE"""),0.1)</f>
        <v>0.1</v>
      </c>
      <c r="I42" s="220">
        <f>IFERROR(__xludf.DUMMYFUNCTION("""COMPUTED_VALUE"""),0.0)</f>
        <v>0</v>
      </c>
      <c r="J42" s="220">
        <f>IFERROR(__xludf.DUMMYFUNCTION("""COMPUTED_VALUE"""),0.0)</f>
        <v>0</v>
      </c>
      <c r="K42" s="270">
        <f>IFERROR(__xludf.DUMMYFUNCTION("""COMPUTED_VALUE"""),0.0)</f>
        <v>0</v>
      </c>
      <c r="L42" s="220">
        <f>IFERROR(__xludf.DUMMYFUNCTION("""COMPUTED_VALUE"""),0.0)</f>
        <v>0</v>
      </c>
      <c r="M42" s="3">
        <f>IFERROR(__xludf.DUMMYFUNCTION("""COMPUTED_VALUE"""),0.0)</f>
        <v>0</v>
      </c>
      <c r="N42" s="160"/>
      <c r="O42" s="185"/>
      <c r="P42" s="171">
        <f>IFERROR(__xludf.DUMMYFUNCTION("""COMPUTED_VALUE"""),780566.6169999999)</f>
        <v>780566.617</v>
      </c>
      <c r="Q42" s="186">
        <f>IFERROR(__xludf.DUMMYFUNCTION("""COMPUTED_VALUE"""),54639.66318999999)</f>
        <v>54639.66319</v>
      </c>
      <c r="R42" s="164">
        <f>IFERROR(__xludf.DUMMYFUNCTION("""COMPUTED_VALUE"""),835206.2801899998)</f>
        <v>835206.2802</v>
      </c>
      <c r="S42" s="171">
        <f>IFERROR(__xludf.DUMMYFUNCTION("""COMPUTED_VALUE"""),0.0)</f>
        <v>0</v>
      </c>
      <c r="T42" s="171">
        <f>IFERROR(__xludf.DUMMYFUNCTION("""COMPUTED_VALUE"""),0.0)</f>
        <v>0</v>
      </c>
      <c r="U42" s="171">
        <f>IFERROR(__xludf.DUMMYFUNCTION("""COMPUTED_VALUE"""),0.0)</f>
        <v>0</v>
      </c>
      <c r="V42" s="171">
        <f>IFERROR(__xludf.DUMMYFUNCTION("""COMPUTED_VALUE"""),0.0)</f>
        <v>0</v>
      </c>
      <c r="W42" s="164">
        <f>IFERROR(__xludf.DUMMYFUNCTION("""COMPUTED_VALUE"""),674070.6499999999)</f>
        <v>674070.65</v>
      </c>
      <c r="X42" s="165">
        <f>IFERROR(__xludf.DUMMYFUNCTION("""COMPUTED_VALUE"""),106495.967)</f>
        <v>106495.967</v>
      </c>
      <c r="Y42" s="165">
        <f>IFERROR(__xludf.DUMMYFUNCTION("""COMPUTED_VALUE"""),290186.71)</f>
        <v>290186.71</v>
      </c>
      <c r="Z42" s="165">
        <f>IFERROR(__xludf.DUMMYFUNCTION("""COMPUTED_VALUE"""),65924.69)</f>
        <v>65924.69</v>
      </c>
      <c r="AA42" s="165">
        <f>IFERROR(__xludf.DUMMYFUNCTION("""COMPUTED_VALUE"""),708848.2699999999)</f>
        <v>708848.27</v>
      </c>
      <c r="AB42" s="165">
        <f>IFERROR(__xludf.DUMMYFUNCTION("""COMPUTED_VALUE"""),0.0)</f>
        <v>0</v>
      </c>
      <c r="AC42" s="186">
        <f>IFERROR(__xludf.DUMMYFUNCTION("""COMPUTED_VALUE"""),0.0)</f>
        <v>0</v>
      </c>
      <c r="AD42" s="160">
        <f>IFERROR(__xludf.DUMMYFUNCTION("""COMPUTED_VALUE"""),1064959.67)</f>
        <v>1064959.67</v>
      </c>
      <c r="AE42" s="133"/>
      <c r="AF42" s="172"/>
      <c r="AG42" s="167"/>
      <c r="AH42" s="168"/>
      <c r="AI42" s="167"/>
      <c r="AJ42" s="17"/>
      <c r="AK42" s="168"/>
      <c r="AL42" s="185"/>
      <c r="AM42" s="171">
        <f>IFERROR(__xludf.DUMMYFUNCTION("""COMPUTED_VALUE"""),0.0)</f>
        <v>0</v>
      </c>
      <c r="AN42" s="168">
        <f>IFERROR(__xludf.DUMMYFUNCTION("""COMPUTED_VALUE"""),674070.6499999999)</f>
        <v>674070.65</v>
      </c>
      <c r="AO42" s="17"/>
      <c r="AP42" s="17"/>
      <c r="AQ42" s="168"/>
      <c r="AR42" s="17"/>
      <c r="AS42" s="173"/>
      <c r="AT42" s="17">
        <f>IFERROR(__xludf.DUMMYFUNCTION("""COMPUTED_VALUE"""),230163.64)</f>
        <v>230163.64</v>
      </c>
      <c r="AU42" s="173"/>
      <c r="AV42" s="173">
        <f>IFERROR(__xludf.DUMMYFUNCTION("""COMPUTED_VALUE"""),60023.07)</f>
        <v>60023.07</v>
      </c>
      <c r="AW42" s="173">
        <f>IFERROR(__xludf.DUMMYFUNCTION("""COMPUTED_VALUE"""),37711.95)</f>
        <v>37711.95</v>
      </c>
      <c r="AX42" s="173">
        <f>IFERROR(__xludf.DUMMYFUNCTION("""COMPUTED_VALUE"""),20578.67)</f>
        <v>20578.67</v>
      </c>
      <c r="AY42" s="17">
        <f>IFERROR(__xludf.DUMMYFUNCTION("""COMPUTED_VALUE"""),7634.07)</f>
        <v>7634.07</v>
      </c>
      <c r="AZ42" s="176"/>
      <c r="BA42" s="233"/>
      <c r="BB42" s="171">
        <f>IFERROR(__xludf.DUMMYFUNCTION("""COMPUTED_VALUE"""),0.0)</f>
        <v>0</v>
      </c>
      <c r="BC42" s="187">
        <f>IFERROR(__xludf.DUMMYFUNCTION("""COMPUTED_VALUE"""),0.0)</f>
        <v>0</v>
      </c>
      <c r="BD42" s="17"/>
      <c r="BE42" s="17"/>
      <c r="BF42" s="173"/>
      <c r="BG42" s="17">
        <f>IFERROR(__xludf.DUMMYFUNCTION("""COMPUTED_VALUE"""),674070.6499999999)</f>
        <v>674070.65</v>
      </c>
      <c r="BH42" s="173"/>
      <c r="BI42" s="17">
        <f>IFERROR(__xludf.DUMMYFUNCTION("""COMPUTED_VALUE"""),34777.62)</f>
        <v>34777.62</v>
      </c>
      <c r="BJ42" s="17"/>
      <c r="BK42" s="17"/>
      <c r="BL42" s="151"/>
      <c r="BM42" s="180" t="str">
        <f>IFERROR(__xludf.DUMMYFUNCTION("""COMPUTED_VALUE"""),"Approval")</f>
        <v>Approval</v>
      </c>
      <c r="BN42" s="133">
        <f>IFERROR(__xludf.DUMMYFUNCTION("""COMPUTED_VALUE"""),46148.39071126157)</f>
        <v>46148.39071</v>
      </c>
      <c r="BO42" s="171"/>
      <c r="BP42" s="133">
        <f>IFERROR(__xludf.DUMMYFUNCTION("""COMPUTED_VALUE"""),399615.45)</f>
        <v>399615.45</v>
      </c>
      <c r="BQ42" s="133"/>
      <c r="BR42" s="133"/>
      <c r="BS42" s="25"/>
    </row>
    <row r="43" hidden="1">
      <c r="A43" s="151" t="str">
        <f>IFERROR(__xludf.DUMMYFUNCTION("""COMPUTED_VALUE"""),"April'26")</f>
        <v>April'26</v>
      </c>
      <c r="B43" s="152" t="str">
        <f>IFERROR(__xludf.DUMMYFUNCTION("""COMPUTED_VALUE"""),"SC Johnson")</f>
        <v>SC Johnson</v>
      </c>
      <c r="C43" s="190" t="str">
        <f>IFERROR(__xludf.DUMMYFUNCTION("""COMPUTED_VALUE"""),"5916 S C Johnson &amp; Son LTD.")</f>
        <v>5916 S C Johnson &amp; Son LTD.</v>
      </c>
      <c r="D43" s="219" t="str">
        <f>IFERROR(__xludf.DUMMYFUNCTION("""COMPUTED_VALUE"""),"Paid by brand")</f>
        <v>Paid by brand</v>
      </c>
      <c r="E43" s="309" t="str">
        <f>IFERROR(__xludf.DUMMYFUNCTION("""COMPUTED_VALUE"""),"Micky")</f>
        <v>Micky</v>
      </c>
      <c r="F43" s="239"/>
      <c r="G43" s="297" t="str">
        <f>IFERROR(__xludf.DUMMYFUNCTION("""COMPUTED_VALUE"""),"Pompam")</f>
        <v>Pompam</v>
      </c>
      <c r="H43" s="157">
        <f>IFERROR(__xludf.DUMMYFUNCTION("""COMPUTED_VALUE"""),0.1)</f>
        <v>0.1</v>
      </c>
      <c r="I43" s="157">
        <f>IFERROR(__xludf.DUMMYFUNCTION("""COMPUTED_VALUE"""),0.0)</f>
        <v>0</v>
      </c>
      <c r="J43" s="157">
        <f>IFERROR(__xludf.DUMMYFUNCTION("""COMPUTED_VALUE"""),0.0)</f>
        <v>0</v>
      </c>
      <c r="K43" s="158">
        <f>IFERROR(__xludf.DUMMYFUNCTION("""COMPUTED_VALUE"""),0.0)</f>
        <v>0</v>
      </c>
      <c r="L43" s="159">
        <f>IFERROR(__xludf.DUMMYFUNCTION("""COMPUTED_VALUE"""),0.0)</f>
        <v>0</v>
      </c>
      <c r="M43" s="222">
        <f>IFERROR(__xludf.DUMMYFUNCTION("""COMPUTED_VALUE"""),40000.0)</f>
        <v>40000</v>
      </c>
      <c r="N43" s="160"/>
      <c r="O43" s="185"/>
      <c r="P43" s="171">
        <f>IFERROR(__xludf.DUMMYFUNCTION("""COMPUTED_VALUE"""),333513.427)</f>
        <v>333513.427</v>
      </c>
      <c r="Q43" s="186">
        <f>IFERROR(__xludf.DUMMYFUNCTION("""COMPUTED_VALUE"""),23345.939890000005)</f>
        <v>23345.93989</v>
      </c>
      <c r="R43" s="164">
        <f>IFERROR(__xludf.DUMMYFUNCTION("""COMPUTED_VALUE"""),356859.36689)</f>
        <v>356859.3669</v>
      </c>
      <c r="S43" s="171">
        <f>IFERROR(__xludf.DUMMYFUNCTION("""COMPUTED_VALUE"""),0.0)</f>
        <v>0</v>
      </c>
      <c r="T43" s="171">
        <f>IFERROR(__xludf.DUMMYFUNCTION("""COMPUTED_VALUE"""),0.0)</f>
        <v>0</v>
      </c>
      <c r="U43" s="171">
        <f>IFERROR(__xludf.DUMMYFUNCTION("""COMPUTED_VALUE"""),0.0)</f>
        <v>0</v>
      </c>
      <c r="V43" s="171">
        <f>IFERROR(__xludf.DUMMYFUNCTION("""COMPUTED_VALUE"""),0.0)</f>
        <v>0</v>
      </c>
      <c r="W43" s="164">
        <f>IFERROR(__xludf.DUMMYFUNCTION("""COMPUTED_VALUE"""),227042.7)</f>
        <v>227042.7</v>
      </c>
      <c r="X43" s="165">
        <f>IFERROR(__xludf.DUMMYFUNCTION("""COMPUTED_VALUE"""),106470.72700000001)</f>
        <v>106470.727</v>
      </c>
      <c r="Y43" s="165">
        <f>IFERROR(__xludf.DUMMYFUNCTION("""COMPUTED_VALUE"""),515784.74)</f>
        <v>515784.74</v>
      </c>
      <c r="Z43" s="165">
        <f>IFERROR(__xludf.DUMMYFUNCTION("""COMPUTED_VALUE"""),73907.75)</f>
        <v>73907.75</v>
      </c>
      <c r="AA43" s="165">
        <f>IFERROR(__xludf.DUMMYFUNCTION("""COMPUTED_VALUE"""),164610.07)</f>
        <v>164610.07</v>
      </c>
      <c r="AB43" s="165">
        <f>IFERROR(__xludf.DUMMYFUNCTION("""COMPUTED_VALUE"""),62432.63)</f>
        <v>62432.63</v>
      </c>
      <c r="AC43" s="186">
        <f>IFERROR(__xludf.DUMMYFUNCTION("""COMPUTED_VALUE"""),0.0)</f>
        <v>0</v>
      </c>
      <c r="AD43" s="167">
        <f>IFERROR(__xludf.DUMMYFUNCTION("""COMPUTED_VALUE"""),1064707.27)</f>
        <v>1064707.27</v>
      </c>
      <c r="AE43" s="17"/>
      <c r="AF43" s="168"/>
      <c r="AG43" s="167"/>
      <c r="AH43" s="168"/>
      <c r="AI43" s="167"/>
      <c r="AJ43" s="17"/>
      <c r="AK43" s="168"/>
      <c r="AL43" s="169"/>
      <c r="AM43" s="171">
        <f>IFERROR(__xludf.DUMMYFUNCTION("""COMPUTED_VALUE"""),62432.63)</f>
        <v>62432.63</v>
      </c>
      <c r="AN43" s="168">
        <f>IFERROR(__xludf.DUMMYFUNCTION("""COMPUTED_VALUE"""),164610.07)</f>
        <v>164610.07</v>
      </c>
      <c r="AO43" s="17"/>
      <c r="AP43" s="133"/>
      <c r="AQ43" s="168"/>
      <c r="AR43" s="173"/>
      <c r="AS43" s="173">
        <f>IFERROR(__xludf.DUMMYFUNCTION("""COMPUTED_VALUE"""),35567.92)</f>
        <v>35567.92</v>
      </c>
      <c r="AT43" s="17">
        <f>IFERROR(__xludf.DUMMYFUNCTION("""COMPUTED_VALUE"""),274592.71)</f>
        <v>274592.71</v>
      </c>
      <c r="AU43" s="173"/>
      <c r="AV43" s="173">
        <f>IFERROR(__xludf.DUMMYFUNCTION("""COMPUTED_VALUE"""),205624.11)</f>
        <v>205624.11</v>
      </c>
      <c r="AW43" s="173">
        <f>IFERROR(__xludf.DUMMYFUNCTION("""COMPUTED_VALUE"""),46451.380000000005)</f>
        <v>46451.38</v>
      </c>
      <c r="AX43" s="173">
        <f>IFERROR(__xludf.DUMMYFUNCTION("""COMPUTED_VALUE"""),15297.13)</f>
        <v>15297.13</v>
      </c>
      <c r="AY43" s="17">
        <f>IFERROR(__xludf.DUMMYFUNCTION("""COMPUTED_VALUE"""),12159.24)</f>
        <v>12159.24</v>
      </c>
      <c r="AZ43" s="176"/>
      <c r="BA43" s="17"/>
      <c r="BB43" s="173"/>
      <c r="BC43" s="187">
        <f>IFERROR(__xludf.DUMMYFUNCTION("""COMPUTED_VALUE"""),62432.63)</f>
        <v>62432.63</v>
      </c>
      <c r="BD43" s="17"/>
      <c r="BE43" s="17"/>
      <c r="BF43" s="173"/>
      <c r="BG43" s="17">
        <f>IFERROR(__xludf.DUMMYFUNCTION("""COMPUTED_VALUE"""),164114.59)</f>
        <v>164114.59</v>
      </c>
      <c r="BH43" s="173"/>
      <c r="BI43" s="173">
        <f>IFERROR(__xludf.DUMMYFUNCTION("""COMPUTED_VALUE"""),495.48)</f>
        <v>495.48</v>
      </c>
      <c r="BJ43" s="17">
        <f>IFERROR(__xludf.DUMMYFUNCTION("""COMPUTED_VALUE"""),247972.08)</f>
        <v>247972.08</v>
      </c>
      <c r="BK43" s="17"/>
      <c r="BL43" s="179"/>
      <c r="BM43" s="180" t="str">
        <f>IFERROR(__xludf.DUMMYFUNCTION("""COMPUTED_VALUE"""),"Approval")</f>
        <v>Approval</v>
      </c>
      <c r="BN43" s="133">
        <f>IFERROR(__xludf.DUMMYFUNCTION("""COMPUTED_VALUE"""),46147.63549237269)</f>
        <v>46147.63549</v>
      </c>
      <c r="BO43" s="133"/>
      <c r="BP43" s="133"/>
      <c r="BQ43" s="133"/>
      <c r="BR43" s="133"/>
      <c r="BS43" s="25"/>
    </row>
    <row r="44" hidden="1">
      <c r="A44" s="151" t="str">
        <f>IFERROR(__xludf.DUMMYFUNCTION("""COMPUTED_VALUE"""),"April'26")</f>
        <v>April'26</v>
      </c>
      <c r="B44" s="152" t="str">
        <f>IFERROR(__xludf.DUMMYFUNCTION("""COMPUTED_VALUE"""),"NOCNOC")</f>
        <v>NOCNOC</v>
      </c>
      <c r="C44" s="234" t="str">
        <f>IFERROR(__xludf.DUMMYFUNCTION("""COMPUTED_VALUE"""),"5944 BETTERBE MARKETPLACE CO., LTD.")</f>
        <v>5944 BETTERBE MARKETPLACE CO., LTD.</v>
      </c>
      <c r="D44" s="219"/>
      <c r="E44" s="310" t="str">
        <f>IFERROR(__xludf.DUMMYFUNCTION("""COMPUTED_VALUE"""),"Pound")</f>
        <v>Pound</v>
      </c>
      <c r="F44" s="239"/>
      <c r="G44" s="297" t="str">
        <f>IFERROR(__xludf.DUMMYFUNCTION("""COMPUTED_VALUE"""),"Pompam")</f>
        <v>Pompam</v>
      </c>
      <c r="H44" s="157">
        <f>IFERROR(__xludf.DUMMYFUNCTION("""COMPUTED_VALUE"""),0.15)</f>
        <v>0.15</v>
      </c>
      <c r="I44" s="157">
        <f>IFERROR(__xludf.DUMMYFUNCTION("""COMPUTED_VALUE"""),0.0)</f>
        <v>0</v>
      </c>
      <c r="J44" s="157">
        <f>IFERROR(__xludf.DUMMYFUNCTION("""COMPUTED_VALUE"""),0.0)</f>
        <v>0</v>
      </c>
      <c r="K44" s="158">
        <f>IFERROR(__xludf.DUMMYFUNCTION("""COMPUTED_VALUE"""),0.0)</f>
        <v>0</v>
      </c>
      <c r="L44" s="159">
        <f>IFERROR(__xludf.DUMMYFUNCTION("""COMPUTED_VALUE"""),0.0)</f>
        <v>0</v>
      </c>
      <c r="M44" s="222">
        <f>IFERROR(__xludf.DUMMYFUNCTION("""COMPUTED_VALUE"""),65000.0)</f>
        <v>65000</v>
      </c>
      <c r="N44" s="195"/>
      <c r="O44" s="185"/>
      <c r="P44" s="171">
        <f>IFERROR(__xludf.DUMMYFUNCTION("""COMPUTED_VALUE"""),0.0)</f>
        <v>0</v>
      </c>
      <c r="Q44" s="186">
        <f>IFERROR(__xludf.DUMMYFUNCTION("""COMPUTED_VALUE"""),0.0)</f>
        <v>0</v>
      </c>
      <c r="R44" s="164">
        <f>IFERROR(__xludf.DUMMYFUNCTION("""COMPUTED_VALUE"""),0.0)</f>
        <v>0</v>
      </c>
      <c r="S44" s="171">
        <f>IFERROR(__xludf.DUMMYFUNCTION("""COMPUTED_VALUE"""),0.0)</f>
        <v>0</v>
      </c>
      <c r="T44" s="171">
        <f>IFERROR(__xludf.DUMMYFUNCTION("""COMPUTED_VALUE"""),0.0)</f>
        <v>0</v>
      </c>
      <c r="U44" s="171">
        <f>IFERROR(__xludf.DUMMYFUNCTION("""COMPUTED_VALUE"""),0.0)</f>
        <v>0</v>
      </c>
      <c r="V44" s="171">
        <f>IFERROR(__xludf.DUMMYFUNCTION("""COMPUTED_VALUE"""),0.0)</f>
        <v>0</v>
      </c>
      <c r="W44" s="164">
        <f>IFERROR(__xludf.DUMMYFUNCTION("""COMPUTED_VALUE"""),0.0)</f>
        <v>0</v>
      </c>
      <c r="X44" s="165" t="str">
        <f>IFERROR(__xludf.DUMMYFUNCTION("""COMPUTED_VALUE"""),"0")</f>
        <v>0</v>
      </c>
      <c r="Y44" s="165">
        <f>IFERROR(__xludf.DUMMYFUNCTION("""COMPUTED_VALUE"""),0.0)</f>
        <v>0</v>
      </c>
      <c r="Z44" s="165">
        <f>IFERROR(__xludf.DUMMYFUNCTION("""COMPUTED_VALUE"""),0.0)</f>
        <v>0</v>
      </c>
      <c r="AA44" s="165">
        <f>IFERROR(__xludf.DUMMYFUNCTION("""COMPUTED_VALUE"""),0.0)</f>
        <v>0</v>
      </c>
      <c r="AB44" s="165">
        <f>IFERROR(__xludf.DUMMYFUNCTION("""COMPUTED_VALUE"""),0.0)</f>
        <v>0</v>
      </c>
      <c r="AC44" s="186">
        <f>IFERROR(__xludf.DUMMYFUNCTION("""COMPUTED_VALUE"""),0.0)</f>
        <v>0</v>
      </c>
      <c r="AD44" s="167">
        <f>IFERROR(__xludf.DUMMYFUNCTION("""COMPUTED_VALUE"""),0.0)</f>
        <v>0</v>
      </c>
      <c r="AE44" s="17"/>
      <c r="AF44" s="168"/>
      <c r="AG44" s="167"/>
      <c r="AH44" s="168"/>
      <c r="AI44" s="167"/>
      <c r="AJ44" s="17"/>
      <c r="AK44" s="168"/>
      <c r="AL44" s="304"/>
      <c r="AM44" s="305" t="str">
        <f>IFERROR(__xludf.DUMMYFUNCTION("""COMPUTED_VALUE"""),"Run under brand BM")</f>
        <v>Run under brand BM</v>
      </c>
      <c r="AN44" s="306" t="str">
        <f>IFERROR(__xludf.DUMMYFUNCTION("""COMPUTED_VALUE"""),"Run under brand BM")</f>
        <v>Run under brand BM</v>
      </c>
      <c r="AO44" s="17" t="str">
        <f>IFERROR(__xludf.DUMMYFUNCTION("""COMPUTED_VALUE"""),"Run under brand BM")</f>
        <v>Run under brand BM</v>
      </c>
      <c r="AP44" s="17"/>
      <c r="AQ44" s="168"/>
      <c r="AR44" s="17"/>
      <c r="AS44" s="133"/>
      <c r="AT44" s="17"/>
      <c r="AU44" s="17"/>
      <c r="AV44" s="133"/>
      <c r="AW44" s="17"/>
      <c r="AX44" s="133"/>
      <c r="AY44" s="17"/>
      <c r="AZ44" s="176"/>
      <c r="BA44" s="177"/>
      <c r="BB44" s="133"/>
      <c r="BC44" s="133"/>
      <c r="BD44" s="17"/>
      <c r="BE44" s="17"/>
      <c r="BF44" s="17"/>
      <c r="BG44" s="133"/>
      <c r="BH44" s="17"/>
      <c r="BI44" s="17"/>
      <c r="BJ44" s="17"/>
      <c r="BK44" s="133"/>
      <c r="BL44" s="195"/>
      <c r="BM44" s="181"/>
      <c r="BN44" s="133" t="str">
        <f>IFERROR(__xludf.DUMMYFUNCTION("""COMPUTED_VALUE"""),"")</f>
        <v/>
      </c>
      <c r="BO44" s="2"/>
      <c r="BP44" s="133"/>
      <c r="BQ44" s="133"/>
      <c r="BR44" s="133"/>
      <c r="BS44" s="25"/>
    </row>
    <row r="45" hidden="1">
      <c r="A45" s="151" t="str">
        <f>IFERROR(__xludf.DUMMYFUNCTION("""COMPUTED_VALUE"""),"April'26")</f>
        <v>April'26</v>
      </c>
      <c r="B45" s="152" t="str">
        <f>IFERROR(__xludf.DUMMYFUNCTION("""COMPUTED_VALUE"""),"KAO Home &amp; Fabric Care")</f>
        <v>KAO Home &amp; Fabric Care</v>
      </c>
      <c r="C45" s="234" t="str">
        <f>IFERROR(__xludf.DUMMYFUNCTION("""COMPUTED_VALUE"""),"6080 KAO Industrial (Thailand) Co., Ltd.")</f>
        <v>6080 KAO Industrial (Thailand) Co., Ltd.</v>
      </c>
      <c r="D45" s="239"/>
      <c r="E45" s="189" t="str">
        <f>IFERROR(__xludf.DUMMYFUNCTION("""COMPUTED_VALUE"""),"Fern")</f>
        <v>Fern</v>
      </c>
      <c r="F45" s="156" t="str">
        <f>IFERROR(__xludf.DUMMYFUNCTION("""COMPUTED_VALUE"""),"First")</f>
        <v>First</v>
      </c>
      <c r="G45" s="157" t="str">
        <f>IFERROR(__xludf.DUMMYFUNCTION("""COMPUTED_VALUE"""),"Pompam")</f>
        <v>Pompam</v>
      </c>
      <c r="H45" s="157">
        <f>IFERROR(__xludf.DUMMYFUNCTION("""COMPUTED_VALUE"""),0.12)</f>
        <v>0.12</v>
      </c>
      <c r="I45" s="157">
        <f>IFERROR(__xludf.DUMMYFUNCTION("""COMPUTED_VALUE"""),0.0)</f>
        <v>0</v>
      </c>
      <c r="J45" s="157">
        <f>IFERROR(__xludf.DUMMYFUNCTION("""COMPUTED_VALUE"""),0.0)</f>
        <v>0</v>
      </c>
      <c r="K45" s="158">
        <f>IFERROR(__xludf.DUMMYFUNCTION("""COMPUTED_VALUE"""),0.0)</f>
        <v>0</v>
      </c>
      <c r="L45" s="159">
        <f>IFERROR(__xludf.DUMMYFUNCTION("""COMPUTED_VALUE"""),0.0)</f>
        <v>0</v>
      </c>
      <c r="M45" s="3">
        <f>IFERROR(__xludf.DUMMYFUNCTION("""COMPUTED_VALUE"""),55000.0)</f>
        <v>55000</v>
      </c>
      <c r="N45" s="238"/>
      <c r="O45" s="185"/>
      <c r="P45" s="171">
        <f>IFERROR(__xludf.DUMMYFUNCTION("""COMPUTED_VALUE"""),197327.678)</f>
        <v>197327.678</v>
      </c>
      <c r="Q45" s="186">
        <f>IFERROR(__xludf.DUMMYFUNCTION("""COMPUTED_VALUE"""),13812.937460000003)</f>
        <v>13812.93746</v>
      </c>
      <c r="R45" s="171">
        <f>IFERROR(__xludf.DUMMYFUNCTION("""COMPUTED_VALUE"""),211140.61546000003)</f>
        <v>211140.6155</v>
      </c>
      <c r="S45" s="171">
        <f>IFERROR(__xludf.DUMMYFUNCTION("""COMPUTED_VALUE"""),0.0)</f>
        <v>0</v>
      </c>
      <c r="T45" s="171">
        <f>IFERROR(__xludf.DUMMYFUNCTION("""COMPUTED_VALUE"""),0.0)</f>
        <v>0</v>
      </c>
      <c r="U45" s="171">
        <f>IFERROR(__xludf.DUMMYFUNCTION("""COMPUTED_VALUE"""),0.0)</f>
        <v>0</v>
      </c>
      <c r="V45" s="171">
        <f>IFERROR(__xludf.DUMMYFUNCTION("""COMPUTED_VALUE"""),0.0)</f>
        <v>0</v>
      </c>
      <c r="W45" s="164">
        <f>IFERROR(__xludf.DUMMYFUNCTION("""COMPUTED_VALUE"""),27502.67)</f>
        <v>27502.67</v>
      </c>
      <c r="X45" s="165">
        <f>IFERROR(__xludf.DUMMYFUNCTION("""COMPUTED_VALUE"""),169825.00800000003)</f>
        <v>169825.008</v>
      </c>
      <c r="Y45" s="165">
        <f>IFERROR(__xludf.DUMMYFUNCTION("""COMPUTED_VALUE"""),40855.17)</f>
        <v>40855.17</v>
      </c>
      <c r="Z45" s="165">
        <f>IFERROR(__xludf.DUMMYFUNCTION("""COMPUTED_VALUE"""),40457.96)</f>
        <v>40457.96</v>
      </c>
      <c r="AA45" s="165">
        <f>IFERROR(__xludf.DUMMYFUNCTION("""COMPUTED_VALUE"""),0.0)</f>
        <v>0</v>
      </c>
      <c r="AB45" s="165">
        <f>IFERROR(__xludf.DUMMYFUNCTION("""COMPUTED_VALUE"""),27502.67)</f>
        <v>27502.67</v>
      </c>
      <c r="AC45" s="186">
        <f>IFERROR(__xludf.DUMMYFUNCTION("""COMPUTED_VALUE"""),0.0)</f>
        <v>0</v>
      </c>
      <c r="AD45" s="167">
        <f>IFERROR(__xludf.DUMMYFUNCTION("""COMPUTED_VALUE"""),108815.8)</f>
        <v>108815.8</v>
      </c>
      <c r="AE45" s="17"/>
      <c r="AF45" s="168"/>
      <c r="AG45" s="167"/>
      <c r="AH45" s="168"/>
      <c r="AI45" s="167"/>
      <c r="AJ45" s="17"/>
      <c r="AK45" s="168"/>
      <c r="AL45" s="185"/>
      <c r="AM45" s="17">
        <f>IFERROR(__xludf.DUMMYFUNCTION("""COMPUTED_VALUE"""),27502.67)</f>
        <v>27502.67</v>
      </c>
      <c r="AN45" s="168"/>
      <c r="AO45" s="17"/>
      <c r="AP45" s="17"/>
      <c r="AQ45" s="168"/>
      <c r="AR45" s="17"/>
      <c r="AS45" s="173"/>
      <c r="AT45" s="173">
        <f>IFERROR(__xludf.DUMMYFUNCTION("""COMPUTED_VALUE"""),39783.32)</f>
        <v>39783.32</v>
      </c>
      <c r="AU45" s="17">
        <f>IFERROR(__xludf.DUMMYFUNCTION("""COMPUTED_VALUE"""),1071.85)</f>
        <v>1071.85</v>
      </c>
      <c r="AV45" s="173"/>
      <c r="AW45" s="17">
        <f>IFERROR(__xludf.DUMMYFUNCTION("""COMPUTED_VALUE"""),34104.15)</f>
        <v>34104.15</v>
      </c>
      <c r="AX45" s="173"/>
      <c r="AY45" s="17">
        <f>IFERROR(__xludf.DUMMYFUNCTION("""COMPUTED_VALUE"""),6353.81)</f>
        <v>6353.81</v>
      </c>
      <c r="AZ45" s="176"/>
      <c r="BA45" s="173"/>
      <c r="BB45" s="173">
        <f>IFERROR(__xludf.DUMMYFUNCTION("""COMPUTED_VALUE"""),10809.47)</f>
        <v>10809.47</v>
      </c>
      <c r="BC45" s="187">
        <f>IFERROR(__xludf.DUMMYFUNCTION("""COMPUTED_VALUE"""),16693.2)</f>
        <v>16693.2</v>
      </c>
      <c r="BD45" s="17"/>
      <c r="BE45" s="17"/>
      <c r="BF45" s="17"/>
      <c r="BG45" s="17"/>
      <c r="BH45" s="17"/>
      <c r="BI45" s="17"/>
      <c r="BJ45" s="17"/>
      <c r="BK45" s="17"/>
      <c r="BL45" s="179"/>
      <c r="BM45" s="180" t="str">
        <f>IFERROR(__xludf.DUMMYFUNCTION("""COMPUTED_VALUE"""),"Approval")</f>
        <v>Approval</v>
      </c>
      <c r="BN45" s="181">
        <f>IFERROR(__xludf.DUMMYFUNCTION("""COMPUTED_VALUE"""),46148.390734375)</f>
        <v>46148.39073</v>
      </c>
      <c r="BO45" s="2"/>
      <c r="BP45" s="133"/>
      <c r="BQ45" s="133"/>
      <c r="BR45" s="133"/>
      <c r="BS45" s="25"/>
    </row>
    <row r="46" hidden="1">
      <c r="A46" s="151" t="str">
        <f>IFERROR(__xludf.DUMMYFUNCTION("""COMPUTED_VALUE"""),"April'26")</f>
        <v>April'26</v>
      </c>
      <c r="B46" s="152" t="str">
        <f>IFERROR(__xludf.DUMMYFUNCTION("""COMPUTED_VALUE"""),"KAO Beauty &amp; Personal Care")</f>
        <v>KAO Beauty &amp; Personal Care</v>
      </c>
      <c r="C46" s="234" t="str">
        <f>IFERROR(__xludf.DUMMYFUNCTION("""COMPUTED_VALUE"""),"6080 KAO Industrial (Thailand) Co., Ltd.")</f>
        <v>6080 KAO Industrial (Thailand) Co., Ltd.</v>
      </c>
      <c r="D46" s="239"/>
      <c r="E46" s="189" t="str">
        <f>IFERROR(__xludf.DUMMYFUNCTION("""COMPUTED_VALUE"""),"Fern")</f>
        <v>Fern</v>
      </c>
      <c r="F46" s="156" t="str">
        <f>IFERROR(__xludf.DUMMYFUNCTION("""COMPUTED_VALUE"""),"First")</f>
        <v>First</v>
      </c>
      <c r="G46" s="157" t="str">
        <f>IFERROR(__xludf.DUMMYFUNCTION("""COMPUTED_VALUE"""),"Pompam")</f>
        <v>Pompam</v>
      </c>
      <c r="H46" s="157">
        <f>IFERROR(__xludf.DUMMYFUNCTION("""COMPUTED_VALUE"""),0.12)</f>
        <v>0.12</v>
      </c>
      <c r="I46" s="157">
        <f>IFERROR(__xludf.DUMMYFUNCTION("""COMPUTED_VALUE"""),0.0)</f>
        <v>0</v>
      </c>
      <c r="J46" s="157">
        <f>IFERROR(__xludf.DUMMYFUNCTION("""COMPUTED_VALUE"""),0.0)</f>
        <v>0</v>
      </c>
      <c r="K46" s="158">
        <f>IFERROR(__xludf.DUMMYFUNCTION("""COMPUTED_VALUE"""),0.0)</f>
        <v>0</v>
      </c>
      <c r="M46" s="3"/>
      <c r="N46" s="238"/>
      <c r="O46" s="185"/>
      <c r="P46" s="171">
        <f>IFERROR(__xludf.DUMMYFUNCTION("""COMPUTED_VALUE"""),165491.58000000002)</f>
        <v>165491.58</v>
      </c>
      <c r="Q46" s="186">
        <f>IFERROR(__xludf.DUMMYFUNCTION("""COMPUTED_VALUE"""),11584.410600000003)</f>
        <v>11584.4106</v>
      </c>
      <c r="R46" s="171">
        <f>IFERROR(__xludf.DUMMYFUNCTION("""COMPUTED_VALUE"""),177075.99060000002)</f>
        <v>177075.9906</v>
      </c>
      <c r="S46" s="171">
        <f>IFERROR(__xludf.DUMMYFUNCTION("""COMPUTED_VALUE"""),0.0)</f>
        <v>0</v>
      </c>
      <c r="T46" s="171">
        <f>IFERROR(__xludf.DUMMYFUNCTION("""COMPUTED_VALUE"""),0.0)</f>
        <v>0</v>
      </c>
      <c r="U46" s="171">
        <f>IFERROR(__xludf.DUMMYFUNCTION("""COMPUTED_VALUE"""),0.0)</f>
        <v>0</v>
      </c>
      <c r="V46" s="171">
        <f>IFERROR(__xludf.DUMMYFUNCTION("""COMPUTED_VALUE"""),0.0)</f>
        <v>0</v>
      </c>
      <c r="X46" s="165"/>
      <c r="Y46" s="165">
        <f>IFERROR(__xludf.DUMMYFUNCTION("""COMPUTED_VALUE"""),297749.44000000006)</f>
        <v>297749.44</v>
      </c>
      <c r="Z46" s="165">
        <f>IFERROR(__xludf.DUMMYFUNCTION("""COMPUTED_VALUE"""),242494.96000000002)</f>
        <v>242494.96</v>
      </c>
      <c r="AA46" s="165">
        <f>IFERROR(__xludf.DUMMYFUNCTION("""COMPUTED_VALUE"""),0.0)</f>
        <v>0</v>
      </c>
      <c r="AB46" s="165">
        <f>IFERROR(__xludf.DUMMYFUNCTION("""COMPUTED_VALUE"""),165491.58000000002)</f>
        <v>165491.58</v>
      </c>
      <c r="AC46" s="186">
        <f>IFERROR(__xludf.DUMMYFUNCTION("""COMPUTED_VALUE"""),0.0)</f>
        <v>0</v>
      </c>
      <c r="AD46" s="167">
        <f>IFERROR(__xludf.DUMMYFUNCTION("""COMPUTED_VALUE"""),705735.9800000001)</f>
        <v>705735.98</v>
      </c>
      <c r="AE46" s="17"/>
      <c r="AF46" s="168"/>
      <c r="AG46" s="167"/>
      <c r="AH46" s="168"/>
      <c r="AI46" s="167"/>
      <c r="AJ46" s="17"/>
      <c r="AK46" s="168"/>
      <c r="AL46" s="185"/>
      <c r="AM46" s="17">
        <f>IFERROR(__xludf.DUMMYFUNCTION("""COMPUTED_VALUE"""),165491.58000000002)</f>
        <v>165491.58</v>
      </c>
      <c r="AN46" s="168"/>
      <c r="AO46" s="17"/>
      <c r="AP46" s="17"/>
      <c r="AQ46" s="168"/>
      <c r="AR46" s="17"/>
      <c r="AS46" s="173"/>
      <c r="AT46" s="173">
        <f>IFERROR(__xludf.DUMMYFUNCTION("""COMPUTED_VALUE"""),294534.54000000004)</f>
        <v>294534.54</v>
      </c>
      <c r="AU46" s="17">
        <f>IFERROR(__xludf.DUMMYFUNCTION("""COMPUTED_VALUE"""),3214.9)</f>
        <v>3214.9</v>
      </c>
      <c r="AV46" s="173"/>
      <c r="AW46" s="173">
        <f>IFERROR(__xludf.DUMMYFUNCTION("""COMPUTED_VALUE"""),155360.89)</f>
        <v>155360.89</v>
      </c>
      <c r="AX46" s="173">
        <f>IFERROR(__xludf.DUMMYFUNCTION("""COMPUTED_VALUE"""),44555.04)</f>
        <v>44555.04</v>
      </c>
      <c r="AY46" s="17">
        <f>IFERROR(__xludf.DUMMYFUNCTION("""COMPUTED_VALUE"""),42579.03)</f>
        <v>42579.03</v>
      </c>
      <c r="AZ46" s="176"/>
      <c r="BA46" s="311"/>
      <c r="BB46" s="173">
        <f>IFERROR(__xludf.DUMMYFUNCTION("""COMPUTED_VALUE"""),49996.42)</f>
        <v>49996.42</v>
      </c>
      <c r="BC46" s="187">
        <f>IFERROR(__xludf.DUMMYFUNCTION("""COMPUTED_VALUE"""),115495.16)</f>
        <v>115495.16</v>
      </c>
      <c r="BD46" s="17"/>
      <c r="BE46" s="17"/>
      <c r="BF46" s="17"/>
      <c r="BG46" s="17"/>
      <c r="BH46" s="17"/>
      <c r="BI46" s="17"/>
      <c r="BJ46" s="17"/>
      <c r="BK46" s="17"/>
      <c r="BL46" s="179"/>
      <c r="BM46" s="180" t="str">
        <f>IFERROR(__xludf.DUMMYFUNCTION("""COMPUTED_VALUE"""),"Approval")</f>
        <v>Approval</v>
      </c>
      <c r="BN46" s="181">
        <f>IFERROR(__xludf.DUMMYFUNCTION("""COMPUTED_VALUE"""),46148.39074634259)</f>
        <v>46148.39075</v>
      </c>
      <c r="BO46" s="2"/>
      <c r="BP46" s="133"/>
      <c r="BQ46" s="133"/>
      <c r="BR46" s="133"/>
      <c r="BS46" s="25"/>
    </row>
    <row r="47" hidden="1">
      <c r="A47" s="151" t="str">
        <f>IFERROR(__xludf.DUMMYFUNCTION("""COMPUTED_VALUE"""),"April'26")</f>
        <v>April'26</v>
      </c>
      <c r="B47" s="152" t="str">
        <f>IFERROR(__xludf.DUMMYFUNCTION("""COMPUTED_VALUE"""),"Curel")</f>
        <v>Curel</v>
      </c>
      <c r="C47" s="234" t="str">
        <f>IFERROR(__xludf.DUMMYFUNCTION("""COMPUTED_VALUE"""),"6080 KAO Industrial (Thailand) Co., Ltd.")</f>
        <v>6080 KAO Industrial (Thailand) Co., Ltd.</v>
      </c>
      <c r="D47" s="239"/>
      <c r="E47" s="189" t="str">
        <f>IFERROR(__xludf.DUMMYFUNCTION("""COMPUTED_VALUE"""),"Fern")</f>
        <v>Fern</v>
      </c>
      <c r="F47" s="156" t="str">
        <f>IFERROR(__xludf.DUMMYFUNCTION("""COMPUTED_VALUE"""),"First")</f>
        <v>First</v>
      </c>
      <c r="G47" s="157" t="str">
        <f>IFERROR(__xludf.DUMMYFUNCTION("""COMPUTED_VALUE"""),"Pompam")</f>
        <v>Pompam</v>
      </c>
      <c r="H47" s="157">
        <f>IFERROR(__xludf.DUMMYFUNCTION("""COMPUTED_VALUE"""),0.12)</f>
        <v>0.12</v>
      </c>
      <c r="I47" s="157">
        <f>IFERROR(__xludf.DUMMYFUNCTION("""COMPUTED_VALUE"""),0.0)</f>
        <v>0</v>
      </c>
      <c r="J47" s="157">
        <f>IFERROR(__xludf.DUMMYFUNCTION("""COMPUTED_VALUE"""),0.0)</f>
        <v>0</v>
      </c>
      <c r="K47" s="158">
        <f>IFERROR(__xludf.DUMMYFUNCTION("""COMPUTED_VALUE"""),0.0)</f>
        <v>0</v>
      </c>
      <c r="M47" s="3"/>
      <c r="N47" s="238"/>
      <c r="O47" s="185"/>
      <c r="P47" s="171">
        <f>IFERROR(__xludf.DUMMYFUNCTION("""COMPUTED_VALUE"""),73988.98999999999)</f>
        <v>73988.99</v>
      </c>
      <c r="Q47" s="186">
        <f>IFERROR(__xludf.DUMMYFUNCTION("""COMPUTED_VALUE"""),5179.2293)</f>
        <v>5179.2293</v>
      </c>
      <c r="R47" s="171">
        <f>IFERROR(__xludf.DUMMYFUNCTION("""COMPUTED_VALUE"""),79168.2193)</f>
        <v>79168.2193</v>
      </c>
      <c r="S47" s="171">
        <f>IFERROR(__xludf.DUMMYFUNCTION("""COMPUTED_VALUE"""),0.0)</f>
        <v>0</v>
      </c>
      <c r="T47" s="171">
        <f>IFERROR(__xludf.DUMMYFUNCTION("""COMPUTED_VALUE"""),0.0)</f>
        <v>0</v>
      </c>
      <c r="U47" s="171">
        <f>IFERROR(__xludf.DUMMYFUNCTION("""COMPUTED_VALUE"""),0.0)</f>
        <v>0</v>
      </c>
      <c r="V47" s="171">
        <f>IFERROR(__xludf.DUMMYFUNCTION("""COMPUTED_VALUE"""),0.0)</f>
        <v>0</v>
      </c>
      <c r="X47" s="165"/>
      <c r="Y47" s="165">
        <f>IFERROR(__xludf.DUMMYFUNCTION("""COMPUTED_VALUE"""),58971.85)</f>
        <v>58971.85</v>
      </c>
      <c r="Z47" s="165">
        <f>IFERROR(__xludf.DUMMYFUNCTION("""COMPUTED_VALUE"""),144167.68000000002)</f>
        <v>144167.68</v>
      </c>
      <c r="AA47" s="165">
        <f>IFERROR(__xludf.DUMMYFUNCTION("""COMPUTED_VALUE"""),0.0)</f>
        <v>0</v>
      </c>
      <c r="AB47" s="165">
        <f>IFERROR(__xludf.DUMMYFUNCTION("""COMPUTED_VALUE"""),73988.98999999999)</f>
        <v>73988.99</v>
      </c>
      <c r="AC47" s="186">
        <f>IFERROR(__xludf.DUMMYFUNCTION("""COMPUTED_VALUE"""),0.0)</f>
        <v>0</v>
      </c>
      <c r="AD47" s="167">
        <f>IFERROR(__xludf.DUMMYFUNCTION("""COMPUTED_VALUE"""),277128.52)</f>
        <v>277128.52</v>
      </c>
      <c r="AE47" s="17"/>
      <c r="AF47" s="168"/>
      <c r="AG47" s="167"/>
      <c r="AH47" s="168"/>
      <c r="AI47" s="167"/>
      <c r="AJ47" s="17"/>
      <c r="AK47" s="168"/>
      <c r="AL47" s="185"/>
      <c r="AM47" s="17">
        <f>IFERROR(__xludf.DUMMYFUNCTION("""COMPUTED_VALUE"""),73988.98999999999)</f>
        <v>73988.99</v>
      </c>
      <c r="AN47" s="168"/>
      <c r="AO47" s="17"/>
      <c r="AP47" s="17"/>
      <c r="AQ47" s="168"/>
      <c r="AR47" s="17"/>
      <c r="AS47" s="173"/>
      <c r="AT47" s="173">
        <f>IFERROR(__xludf.DUMMYFUNCTION("""COMPUTED_VALUE"""),57612.54)</f>
        <v>57612.54</v>
      </c>
      <c r="AU47" s="17">
        <f>IFERROR(__xludf.DUMMYFUNCTION("""COMPUTED_VALUE"""),1359.31)</f>
        <v>1359.31</v>
      </c>
      <c r="AV47" s="173"/>
      <c r="AW47" s="173">
        <f>IFERROR(__xludf.DUMMYFUNCTION("""COMPUTED_VALUE"""),63612.200000000004)</f>
        <v>63612.2</v>
      </c>
      <c r="AX47" s="173">
        <f>IFERROR(__xludf.DUMMYFUNCTION("""COMPUTED_VALUE"""),52160.97)</f>
        <v>52160.97</v>
      </c>
      <c r="AY47" s="17">
        <f>IFERROR(__xludf.DUMMYFUNCTION("""COMPUTED_VALUE"""),28394.51)</f>
        <v>28394.51</v>
      </c>
      <c r="AZ47" s="176"/>
      <c r="BA47" s="311"/>
      <c r="BB47" s="173">
        <f>IFERROR(__xludf.DUMMYFUNCTION("""COMPUTED_VALUE"""),49991.24)</f>
        <v>49991.24</v>
      </c>
      <c r="BC47" s="187">
        <f>IFERROR(__xludf.DUMMYFUNCTION("""COMPUTED_VALUE"""),23997.75)</f>
        <v>23997.75</v>
      </c>
      <c r="BD47" s="17"/>
      <c r="BE47" s="17"/>
      <c r="BF47" s="17"/>
      <c r="BG47" s="17"/>
      <c r="BH47" s="17"/>
      <c r="BI47" s="17"/>
      <c r="BJ47" s="17"/>
      <c r="BK47" s="17"/>
      <c r="BL47" s="179"/>
      <c r="BM47" s="180" t="str">
        <f>IFERROR(__xludf.DUMMYFUNCTION("""COMPUTED_VALUE"""),"Approval")</f>
        <v>Approval</v>
      </c>
      <c r="BN47" s="181">
        <f>IFERROR(__xludf.DUMMYFUNCTION("""COMPUTED_VALUE"""),46148.39075559028)</f>
        <v>46148.39076</v>
      </c>
      <c r="BO47" s="2"/>
      <c r="BP47" s="133"/>
      <c r="BQ47" s="133"/>
      <c r="BR47" s="133"/>
      <c r="BS47" s="25"/>
    </row>
    <row r="48" hidden="1">
      <c r="A48" s="151" t="str">
        <f>IFERROR(__xludf.DUMMYFUNCTION("""COMPUTED_VALUE"""),"April'26")</f>
        <v>April'26</v>
      </c>
      <c r="B48" s="152" t="str">
        <f>IFERROR(__xludf.DUMMYFUNCTION("""COMPUTED_VALUE"""),"Merries")</f>
        <v>Merries</v>
      </c>
      <c r="C48" s="234" t="str">
        <f>IFERROR(__xludf.DUMMYFUNCTION("""COMPUTED_VALUE"""),"6080 KAO Industrial (Thailand) Co., Ltd.")</f>
        <v>6080 KAO Industrial (Thailand) Co., Ltd.</v>
      </c>
      <c r="D48" s="239"/>
      <c r="E48" s="189" t="str">
        <f>IFERROR(__xludf.DUMMYFUNCTION("""COMPUTED_VALUE"""),"Fern")</f>
        <v>Fern</v>
      </c>
      <c r="F48" s="156" t="str">
        <f>IFERROR(__xludf.DUMMYFUNCTION("""COMPUTED_VALUE"""),"First")</f>
        <v>First</v>
      </c>
      <c r="G48" s="157" t="str">
        <f>IFERROR(__xludf.DUMMYFUNCTION("""COMPUTED_VALUE"""),"Pompam")</f>
        <v>Pompam</v>
      </c>
      <c r="H48" s="157">
        <f>IFERROR(__xludf.DUMMYFUNCTION("""COMPUTED_VALUE"""),0.12)</f>
        <v>0.12</v>
      </c>
      <c r="I48" s="157">
        <f>IFERROR(__xludf.DUMMYFUNCTION("""COMPUTED_VALUE"""),0.0)</f>
        <v>0</v>
      </c>
      <c r="J48" s="157">
        <f>IFERROR(__xludf.DUMMYFUNCTION("""COMPUTED_VALUE"""),0.0)</f>
        <v>0</v>
      </c>
      <c r="K48" s="158">
        <f>IFERROR(__xludf.DUMMYFUNCTION("""COMPUTED_VALUE"""),0.0)</f>
        <v>0</v>
      </c>
      <c r="M48" s="3"/>
      <c r="N48" s="238"/>
      <c r="O48" s="185"/>
      <c r="P48" s="171">
        <f>IFERROR(__xludf.DUMMYFUNCTION("""COMPUTED_VALUE"""),52498.55)</f>
        <v>52498.55</v>
      </c>
      <c r="Q48" s="186">
        <f>IFERROR(__xludf.DUMMYFUNCTION("""COMPUTED_VALUE"""),3674.8985000000007)</f>
        <v>3674.8985</v>
      </c>
      <c r="R48" s="171">
        <f>IFERROR(__xludf.DUMMYFUNCTION("""COMPUTED_VALUE"""),56173.448500000006)</f>
        <v>56173.4485</v>
      </c>
      <c r="S48" s="171">
        <f>IFERROR(__xludf.DUMMYFUNCTION("""COMPUTED_VALUE"""),0.0)</f>
        <v>0</v>
      </c>
      <c r="T48" s="171">
        <f>IFERROR(__xludf.DUMMYFUNCTION("""COMPUTED_VALUE"""),0.0)</f>
        <v>0</v>
      </c>
      <c r="U48" s="171">
        <f>IFERROR(__xludf.DUMMYFUNCTION("""COMPUTED_VALUE"""),0.0)</f>
        <v>0</v>
      </c>
      <c r="V48" s="171">
        <f>IFERROR(__xludf.DUMMYFUNCTION("""COMPUTED_VALUE"""),0.0)</f>
        <v>0</v>
      </c>
      <c r="X48" s="165"/>
      <c r="Y48" s="165">
        <f>IFERROR(__xludf.DUMMYFUNCTION("""COMPUTED_VALUE"""),126254.57)</f>
        <v>126254.57</v>
      </c>
      <c r="Z48" s="165">
        <f>IFERROR(__xludf.DUMMYFUNCTION("""COMPUTED_VALUE"""),144774.98)</f>
        <v>144774.98</v>
      </c>
      <c r="AA48" s="165">
        <f>IFERROR(__xludf.DUMMYFUNCTION("""COMPUTED_VALUE"""),0.0)</f>
        <v>0</v>
      </c>
      <c r="AB48" s="165">
        <f>IFERROR(__xludf.DUMMYFUNCTION("""COMPUTED_VALUE"""),52498.55)</f>
        <v>52498.55</v>
      </c>
      <c r="AC48" s="186">
        <f>IFERROR(__xludf.DUMMYFUNCTION("""COMPUTED_VALUE"""),0.0)</f>
        <v>0</v>
      </c>
      <c r="AD48" s="167">
        <f>IFERROR(__xludf.DUMMYFUNCTION("""COMPUTED_VALUE"""),323528.10000000003)</f>
        <v>323528.1</v>
      </c>
      <c r="AE48" s="17"/>
      <c r="AF48" s="168"/>
      <c r="AG48" s="167"/>
      <c r="AH48" s="168"/>
      <c r="AI48" s="167"/>
      <c r="AJ48" s="17"/>
      <c r="AK48" s="168"/>
      <c r="AL48" s="185"/>
      <c r="AM48" s="17">
        <f>IFERROR(__xludf.DUMMYFUNCTION("""COMPUTED_VALUE"""),52498.55)</f>
        <v>52498.55</v>
      </c>
      <c r="AN48" s="168"/>
      <c r="AO48" s="17"/>
      <c r="AP48" s="17"/>
      <c r="AQ48" s="168"/>
      <c r="AR48" s="17"/>
      <c r="AS48" s="173"/>
      <c r="AT48" s="173">
        <f>IFERROR(__xludf.DUMMYFUNCTION("""COMPUTED_VALUE"""),122225.55)</f>
        <v>122225.55</v>
      </c>
      <c r="AU48" s="17">
        <f>IFERROR(__xludf.DUMMYFUNCTION("""COMPUTED_VALUE"""),4029.02)</f>
        <v>4029.02</v>
      </c>
      <c r="AV48" s="173"/>
      <c r="AW48" s="173">
        <f>IFERROR(__xludf.DUMMYFUNCTION("""COMPUTED_VALUE"""),54720.39)</f>
        <v>54720.39</v>
      </c>
      <c r="AX48" s="173">
        <f>IFERROR(__xludf.DUMMYFUNCTION("""COMPUTED_VALUE"""),59909.5)</f>
        <v>59909.5</v>
      </c>
      <c r="AY48" s="17">
        <f>IFERROR(__xludf.DUMMYFUNCTION("""COMPUTED_VALUE"""),30145.09)</f>
        <v>30145.09</v>
      </c>
      <c r="AZ48" s="176"/>
      <c r="BA48" s="177"/>
      <c r="BB48" s="173"/>
      <c r="BC48" s="187">
        <f>IFERROR(__xludf.DUMMYFUNCTION("""COMPUTED_VALUE"""),52498.55)</f>
        <v>52498.55</v>
      </c>
      <c r="BD48" s="17"/>
      <c r="BE48" s="17"/>
      <c r="BF48" s="17"/>
      <c r="BG48" s="17"/>
      <c r="BH48" s="17"/>
      <c r="BI48" s="17"/>
      <c r="BJ48" s="17"/>
      <c r="BK48" s="17"/>
      <c r="BL48" s="179"/>
      <c r="BM48" s="180" t="str">
        <f>IFERROR(__xludf.DUMMYFUNCTION("""COMPUTED_VALUE"""),"Approval")</f>
        <v>Approval</v>
      </c>
      <c r="BN48" s="181">
        <f>IFERROR(__xludf.DUMMYFUNCTION("""COMPUTED_VALUE"""),46148.39077960648)</f>
        <v>46148.39078</v>
      </c>
      <c r="BO48" s="2"/>
      <c r="BP48" s="133"/>
      <c r="BQ48" s="133"/>
      <c r="BR48" s="133"/>
      <c r="BS48" s="25"/>
    </row>
    <row r="49" hidden="1">
      <c r="A49" s="151" t="str">
        <f>IFERROR(__xludf.DUMMYFUNCTION("""COMPUTED_VALUE"""),"April'26")</f>
        <v>April'26</v>
      </c>
      <c r="B49" s="152" t="str">
        <f>IFERROR(__xludf.DUMMYFUNCTION("""COMPUTED_VALUE"""),"Kohler")</f>
        <v>Kohler</v>
      </c>
      <c r="C49" s="234" t="str">
        <f>IFERROR(__xludf.DUMMYFUNCTION("""COMPUTED_VALUE"""),"6034 Kohler (Thailand) Public Company Limited")</f>
        <v>6034 Kohler (Thailand) Public Company Limited</v>
      </c>
      <c r="D49" s="239"/>
      <c r="E49" s="189" t="str">
        <f>IFERROR(__xludf.DUMMYFUNCTION("""COMPUTED_VALUE"""),"Fern")</f>
        <v>Fern</v>
      </c>
      <c r="F49" s="156" t="str">
        <f>IFERROR(__xludf.DUMMYFUNCTION("""COMPUTED_VALUE"""),"First")</f>
        <v>First</v>
      </c>
      <c r="G49" s="157" t="str">
        <f>IFERROR(__xludf.DUMMYFUNCTION("""COMPUTED_VALUE"""),"Pompam")</f>
        <v>Pompam</v>
      </c>
      <c r="H49" s="157">
        <f>IFERROR(__xludf.DUMMYFUNCTION("""COMPUTED_VALUE"""),0.13)</f>
        <v>0.13</v>
      </c>
      <c r="I49" s="157">
        <f>IFERROR(__xludf.DUMMYFUNCTION("""COMPUTED_VALUE"""),0.0)</f>
        <v>0</v>
      </c>
      <c r="J49" s="157">
        <f>IFERROR(__xludf.DUMMYFUNCTION("""COMPUTED_VALUE"""),0.0)</f>
        <v>0</v>
      </c>
      <c r="K49" s="158">
        <f>IFERROR(__xludf.DUMMYFUNCTION("""COMPUTED_VALUE"""),0.0)</f>
        <v>0</v>
      </c>
      <c r="L49" s="159">
        <f>IFERROR(__xludf.DUMMYFUNCTION("""COMPUTED_VALUE"""),0.0)</f>
        <v>0</v>
      </c>
      <c r="M49" s="157">
        <f>IFERROR(__xludf.DUMMYFUNCTION("""COMPUTED_VALUE"""),65000.0)</f>
        <v>65000</v>
      </c>
      <c r="N49" s="312">
        <f>IFERROR(__xludf.DUMMYFUNCTION("""COMPUTED_VALUE"""),0.02)</f>
        <v>0.02</v>
      </c>
      <c r="O49" s="185" t="str">
        <f>IFERROR(__xludf.DUMMYFUNCTION("""COMPUTED_VALUE"""),"Kohler_2025 Intrepid Marketing")</f>
        <v>Kohler_2025 Intrepid Marketing</v>
      </c>
      <c r="P49" s="171">
        <f>IFERROR(__xludf.DUMMYFUNCTION("""COMPUTED_VALUE"""),176858.02)</f>
        <v>176858.02</v>
      </c>
      <c r="Q49" s="186">
        <f>IFERROR(__xludf.DUMMYFUNCTION("""COMPUTED_VALUE"""),12380.0614)</f>
        <v>12380.0614</v>
      </c>
      <c r="R49" s="171">
        <f>IFERROR(__xludf.DUMMYFUNCTION("""COMPUTED_VALUE"""),189238.0814)</f>
        <v>189238.0814</v>
      </c>
      <c r="S49" s="171">
        <f>IFERROR(__xludf.DUMMYFUNCTION("""COMPUTED_VALUE"""),0.0)</f>
        <v>0</v>
      </c>
      <c r="T49" s="171">
        <f>IFERROR(__xludf.DUMMYFUNCTION("""COMPUTED_VALUE"""),0.0)</f>
        <v>0</v>
      </c>
      <c r="U49" s="171">
        <f>IFERROR(__xludf.DUMMYFUNCTION("""COMPUTED_VALUE"""),0.0)</f>
        <v>0</v>
      </c>
      <c r="V49" s="171">
        <f>IFERROR(__xludf.DUMMYFUNCTION("""COMPUTED_VALUE"""),0.0)</f>
        <v>0</v>
      </c>
      <c r="W49" s="164">
        <f>IFERROR(__xludf.DUMMYFUNCTION("""COMPUTED_VALUE"""),111858.01999999999)</f>
        <v>111858.02</v>
      </c>
      <c r="X49" s="165">
        <f>IFERROR(__xludf.DUMMYFUNCTION("""COMPUTED_VALUE"""),65000.0)</f>
        <v>65000</v>
      </c>
      <c r="Y49" s="165">
        <f>IFERROR(__xludf.DUMMYFUNCTION("""COMPUTED_VALUE"""),254297.21)</f>
        <v>254297.21</v>
      </c>
      <c r="Z49" s="165">
        <f>IFERROR(__xludf.DUMMYFUNCTION("""COMPUTED_VALUE"""),86445.44)</f>
        <v>86445.44</v>
      </c>
      <c r="AA49" s="165">
        <f>IFERROR(__xludf.DUMMYFUNCTION("""COMPUTED_VALUE"""),20665.49)</f>
        <v>20665.49</v>
      </c>
      <c r="AB49" s="165">
        <f>IFERROR(__xludf.DUMMYFUNCTION("""COMPUTED_VALUE"""),55433.85)</f>
        <v>55433.85</v>
      </c>
      <c r="AC49" s="186">
        <f>IFERROR(__xludf.DUMMYFUNCTION("""COMPUTED_VALUE"""),35758.68)</f>
        <v>35758.68</v>
      </c>
      <c r="AD49" s="167">
        <f>IFERROR(__xludf.DUMMYFUNCTION("""COMPUTED_VALUE"""),452600.6699999999)</f>
        <v>452600.67</v>
      </c>
      <c r="AE49" s="17"/>
      <c r="AF49" s="168"/>
      <c r="AG49" s="167"/>
      <c r="AH49" s="168"/>
      <c r="AI49" s="167"/>
      <c r="AJ49" s="17"/>
      <c r="AK49" s="168"/>
      <c r="AL49" s="185"/>
      <c r="AM49" s="171">
        <f>IFERROR(__xludf.DUMMYFUNCTION("""COMPUTED_VALUE"""),55433.85)</f>
        <v>55433.85</v>
      </c>
      <c r="AN49" s="186">
        <f>IFERROR(__xludf.DUMMYFUNCTION("""COMPUTED_VALUE"""),20665.49)</f>
        <v>20665.49</v>
      </c>
      <c r="AO49" s="17">
        <f>IFERROR(__xludf.DUMMYFUNCTION("""COMPUTED_VALUE"""),35758.68)</f>
        <v>35758.68</v>
      </c>
      <c r="AP49" s="17"/>
      <c r="AQ49" s="168"/>
      <c r="AR49" s="173"/>
      <c r="AS49" s="173">
        <f>IFERROR(__xludf.DUMMYFUNCTION("""COMPUTED_VALUE"""),33275.85)</f>
        <v>33275.85</v>
      </c>
      <c r="AT49" s="17">
        <f>IFERROR(__xludf.DUMMYFUNCTION("""COMPUTED_VALUE"""),221021.36)</f>
        <v>221021.36</v>
      </c>
      <c r="AU49" s="17"/>
      <c r="AV49" s="173"/>
      <c r="AW49" s="173">
        <f>IFERROR(__xludf.DUMMYFUNCTION("""COMPUTED_VALUE"""),61515.770000000004)</f>
        <v>61515.77</v>
      </c>
      <c r="AX49" s="17">
        <f>IFERROR(__xludf.DUMMYFUNCTION("""COMPUTED_VALUE"""),24929.67)</f>
        <v>24929.67</v>
      </c>
      <c r="AY49" s="17"/>
      <c r="AZ49" s="176"/>
      <c r="BA49" s="311"/>
      <c r="BB49" s="173">
        <f>IFERROR(__xludf.DUMMYFUNCTION("""COMPUTED_VALUE"""),24084.25)</f>
        <v>24084.25</v>
      </c>
      <c r="BC49" s="187">
        <f>IFERROR(__xludf.DUMMYFUNCTION("""COMPUTED_VALUE"""),31349.6)</f>
        <v>31349.6</v>
      </c>
      <c r="BD49" s="17"/>
      <c r="BE49" s="17"/>
      <c r="BF49" s="173"/>
      <c r="BG49" s="17">
        <f>IFERROR(__xludf.DUMMYFUNCTION("""COMPUTED_VALUE"""),20665.49)</f>
        <v>20665.49</v>
      </c>
      <c r="BH49" s="17"/>
      <c r="BI49" s="17"/>
      <c r="BJ49" s="17"/>
      <c r="BK49" s="173"/>
      <c r="BL49" s="151">
        <f>IFERROR(__xludf.DUMMYFUNCTION("""COMPUTED_VALUE"""),35758.68)</f>
        <v>35758.68</v>
      </c>
      <c r="BM49" s="180" t="str">
        <f>IFERROR(__xludf.DUMMYFUNCTION("""COMPUTED_VALUE"""),"Approval")</f>
        <v>Approval</v>
      </c>
      <c r="BN49" s="181">
        <f>IFERROR(__xludf.DUMMYFUNCTION("""COMPUTED_VALUE"""),46148.39079664352)</f>
        <v>46148.3908</v>
      </c>
      <c r="BO49" s="2"/>
      <c r="BP49" s="133"/>
      <c r="BQ49" s="133"/>
      <c r="BR49" s="133"/>
      <c r="BS49" s="25"/>
    </row>
    <row r="50" hidden="1">
      <c r="A50" s="151" t="str">
        <f>IFERROR(__xludf.DUMMYFUNCTION("""COMPUTED_VALUE"""),"April'26")</f>
        <v>April'26</v>
      </c>
      <c r="B50" s="152" t="str">
        <f>IFERROR(__xludf.DUMMYFUNCTION("""COMPUTED_VALUE"""),"Dyson")</f>
        <v>Dyson</v>
      </c>
      <c r="C50" s="234" t="str">
        <f>IFERROR(__xludf.DUMMYFUNCTION("""COMPUTED_VALUE"""),"5914 Dyson Technology Limited")</f>
        <v>5914 Dyson Technology Limited</v>
      </c>
      <c r="D50" s="239"/>
      <c r="E50" s="310" t="str">
        <f>IFERROR(__xludf.DUMMYFUNCTION("""COMPUTED_VALUE"""),"Roger")</f>
        <v>Roger</v>
      </c>
      <c r="F50" s="156"/>
      <c r="G50" s="313" t="str">
        <f>IFERROR(__xludf.DUMMYFUNCTION("""COMPUTED_VALUE"""),"Pompam")</f>
        <v>Pompam</v>
      </c>
      <c r="H50" s="157">
        <f>IFERROR(__xludf.DUMMYFUNCTION("""COMPUTED_VALUE"""),0.075)</f>
        <v>0.075</v>
      </c>
      <c r="I50" s="157">
        <f>IFERROR(__xludf.DUMMYFUNCTION("""COMPUTED_VALUE"""),0.0)</f>
        <v>0</v>
      </c>
      <c r="J50" s="157">
        <f>IFERROR(__xludf.DUMMYFUNCTION("""COMPUTED_VALUE"""),0.0)</f>
        <v>0</v>
      </c>
      <c r="K50" s="158">
        <f>IFERROR(__xludf.DUMMYFUNCTION("""COMPUTED_VALUE"""),0.0)</f>
        <v>0</v>
      </c>
      <c r="L50" s="159">
        <f>IFERROR(__xludf.DUMMYFUNCTION("""COMPUTED_VALUE"""),0.0)</f>
        <v>0</v>
      </c>
      <c r="M50" s="3">
        <f>IFERROR(__xludf.DUMMYFUNCTION("""COMPUTED_VALUE"""),0.0)</f>
        <v>0</v>
      </c>
      <c r="N50" s="160"/>
      <c r="O50" s="185"/>
      <c r="P50" s="171">
        <f>IFERROR(__xludf.DUMMYFUNCTION("""COMPUTED_VALUE"""),568805.30225)</f>
        <v>568805.3023</v>
      </c>
      <c r="Q50" s="186">
        <f>IFERROR(__xludf.DUMMYFUNCTION("""COMPUTED_VALUE"""),39816.3711575)</f>
        <v>39816.37116</v>
      </c>
      <c r="R50" s="171">
        <f>IFERROR(__xludf.DUMMYFUNCTION("""COMPUTED_VALUE"""),608621.6734074999)</f>
        <v>608621.6734</v>
      </c>
      <c r="S50" s="171">
        <f>IFERROR(__xludf.DUMMYFUNCTION("""COMPUTED_VALUE"""),0.0)</f>
        <v>0</v>
      </c>
      <c r="T50" s="171">
        <f>IFERROR(__xludf.DUMMYFUNCTION("""COMPUTED_VALUE"""),0.0)</f>
        <v>0</v>
      </c>
      <c r="U50" s="171">
        <f>IFERROR(__xludf.DUMMYFUNCTION("""COMPUTED_VALUE"""),0.0)</f>
        <v>0</v>
      </c>
      <c r="V50" s="171">
        <f>IFERROR(__xludf.DUMMYFUNCTION("""COMPUTED_VALUE"""),0.0)</f>
        <v>0</v>
      </c>
      <c r="W50" s="164">
        <f>IFERROR(__xludf.DUMMYFUNCTION("""COMPUTED_VALUE"""),494213.17999999993)</f>
        <v>494213.18</v>
      </c>
      <c r="X50" s="165">
        <f>IFERROR(__xludf.DUMMYFUNCTION("""COMPUTED_VALUE"""),74592.12225)</f>
        <v>74592.12225</v>
      </c>
      <c r="Y50" s="165">
        <f>IFERROR(__xludf.DUMMYFUNCTION("""COMPUTED_VALUE"""),500348.45)</f>
        <v>500348.45</v>
      </c>
      <c r="Z50" s="165">
        <f>IFERROR(__xludf.DUMMYFUNCTION("""COMPUTED_VALUE"""),0.0)</f>
        <v>0</v>
      </c>
      <c r="AA50" s="165">
        <f>IFERROR(__xludf.DUMMYFUNCTION("""COMPUTED_VALUE"""),0.0)</f>
        <v>0</v>
      </c>
      <c r="AB50" s="165">
        <f>IFERROR(__xludf.DUMMYFUNCTION("""COMPUTED_VALUE"""),494213.17999999993)</f>
        <v>494213.18</v>
      </c>
      <c r="AC50" s="186">
        <f>IFERROR(__xludf.DUMMYFUNCTION("""COMPUTED_VALUE"""),0.0)</f>
        <v>0</v>
      </c>
      <c r="AD50" s="167">
        <f>IFERROR(__xludf.DUMMYFUNCTION("""COMPUTED_VALUE"""),994561.63)</f>
        <v>994561.63</v>
      </c>
      <c r="AE50" s="17"/>
      <c r="AF50" s="168"/>
      <c r="AG50" s="167"/>
      <c r="AH50" s="168"/>
      <c r="AI50" s="167"/>
      <c r="AJ50" s="17"/>
      <c r="AK50" s="168"/>
      <c r="AL50" s="185"/>
      <c r="AM50" s="171">
        <f>IFERROR(__xludf.DUMMYFUNCTION("""COMPUTED_VALUE"""),494213.17999999993)</f>
        <v>494213.18</v>
      </c>
      <c r="AN50" s="168">
        <f>IFERROR(__xludf.DUMMYFUNCTION("""COMPUTED_VALUE"""),0.0)</f>
        <v>0</v>
      </c>
      <c r="AO50" s="17"/>
      <c r="AP50" s="17"/>
      <c r="AQ50" s="168"/>
      <c r="AR50" s="173"/>
      <c r="AS50" s="173">
        <f>IFERROR(__xludf.DUMMYFUNCTION("""COMPUTED_VALUE"""),76046.49)</f>
        <v>76046.49</v>
      </c>
      <c r="AT50" s="17">
        <f>IFERROR(__xludf.DUMMYFUNCTION("""COMPUTED_VALUE"""),424301.96)</f>
        <v>424301.96</v>
      </c>
      <c r="AU50" s="17"/>
      <c r="AV50" s="17"/>
      <c r="AW50" s="17"/>
      <c r="AX50" s="17"/>
      <c r="AY50" s="17"/>
      <c r="AZ50" s="176"/>
      <c r="BA50" s="311"/>
      <c r="BB50" s="173">
        <f>IFERROR(__xludf.DUMMYFUNCTION("""COMPUTED_VALUE"""),144708.58)</f>
        <v>144708.58</v>
      </c>
      <c r="BC50" s="187">
        <f>IFERROR(__xludf.DUMMYFUNCTION("""COMPUTED_VALUE"""),349504.6)</f>
        <v>349504.6</v>
      </c>
      <c r="BD50" s="17"/>
      <c r="BE50" s="17"/>
      <c r="BF50" s="17"/>
      <c r="BG50" s="17"/>
      <c r="BH50" s="17"/>
      <c r="BI50" s="17"/>
      <c r="BJ50" s="17"/>
      <c r="BK50" s="17"/>
      <c r="BL50" s="151"/>
      <c r="BM50" s="180" t="str">
        <f>IFERROR(__xludf.DUMMYFUNCTION("""COMPUTED_VALUE"""),"Approval")</f>
        <v>Approval</v>
      </c>
      <c r="BN50" s="26">
        <f>IFERROR(__xludf.DUMMYFUNCTION("""COMPUTED_VALUE"""),46148.39081678241)</f>
        <v>46148.39082</v>
      </c>
      <c r="BO50" s="133"/>
      <c r="BP50" s="133"/>
      <c r="BQ50" s="133"/>
      <c r="BR50" s="133"/>
      <c r="BS50" s="25"/>
    </row>
    <row r="51" hidden="1">
      <c r="A51" s="151" t="str">
        <f>IFERROR(__xludf.DUMMYFUNCTION("""COMPUTED_VALUE"""),"April'26")</f>
        <v>April'26</v>
      </c>
      <c r="B51" s="152" t="str">
        <f>IFERROR(__xludf.DUMMYFUNCTION("""COMPUTED_VALUE"""),"Romrawin Clinic")</f>
        <v>Romrawin Clinic</v>
      </c>
      <c r="C51" s="234" t="str">
        <f>IFERROR(__xludf.DUMMYFUNCTION("""COMPUTED_VALUE"""),"6104 Romrawin Clinic Co., Ltd.")</f>
        <v>6104 Romrawin Clinic Co., Ltd.</v>
      </c>
      <c r="D51" s="239"/>
      <c r="E51" s="310" t="str">
        <f>IFERROR(__xludf.DUMMYFUNCTION("""COMPUTED_VALUE"""),"Ju")</f>
        <v>Ju</v>
      </c>
      <c r="F51" s="232"/>
      <c r="G51" s="157"/>
      <c r="H51" s="157">
        <f>IFERROR(__xludf.DUMMYFUNCTION("""COMPUTED_VALUE"""),0.08)</f>
        <v>0.08</v>
      </c>
      <c r="I51" s="157">
        <f>IFERROR(__xludf.DUMMYFUNCTION("""COMPUTED_VALUE"""),0.0)</f>
        <v>0</v>
      </c>
      <c r="J51" s="157">
        <f>IFERROR(__xludf.DUMMYFUNCTION("""COMPUTED_VALUE"""),0.0)</f>
        <v>0</v>
      </c>
      <c r="K51" s="158">
        <f>IFERROR(__xludf.DUMMYFUNCTION("""COMPUTED_VALUE"""),0.0)</f>
        <v>0</v>
      </c>
      <c r="L51" s="159">
        <f>IFERROR(__xludf.DUMMYFUNCTION("""COMPUTED_VALUE"""),0.0)</f>
        <v>0</v>
      </c>
      <c r="M51" s="3">
        <f>IFERROR(__xludf.DUMMYFUNCTION("""COMPUTED_VALUE"""),45000.0)</f>
        <v>45000</v>
      </c>
      <c r="N51" s="160"/>
      <c r="O51" s="185"/>
      <c r="P51" s="171">
        <f>IFERROR(__xludf.DUMMYFUNCTION("""COMPUTED_VALUE"""),45000.0)</f>
        <v>45000</v>
      </c>
      <c r="Q51" s="186">
        <f>IFERROR(__xludf.DUMMYFUNCTION("""COMPUTED_VALUE"""),3150.0000000000005)</f>
        <v>3150</v>
      </c>
      <c r="R51" s="171">
        <f>IFERROR(__xludf.DUMMYFUNCTION("""COMPUTED_VALUE"""),48150.0)</f>
        <v>48150</v>
      </c>
      <c r="S51" s="171">
        <f>IFERROR(__xludf.DUMMYFUNCTION("""COMPUTED_VALUE"""),0.0)</f>
        <v>0</v>
      </c>
      <c r="T51" s="171">
        <f>IFERROR(__xludf.DUMMYFUNCTION("""COMPUTED_VALUE"""),0.0)</f>
        <v>0</v>
      </c>
      <c r="U51" s="171">
        <f>IFERROR(__xludf.DUMMYFUNCTION("""COMPUTED_VALUE"""),0.0)</f>
        <v>0</v>
      </c>
      <c r="V51" s="171">
        <f>IFERROR(__xludf.DUMMYFUNCTION("""COMPUTED_VALUE"""),0.0)</f>
        <v>0</v>
      </c>
      <c r="W51" s="164">
        <f>IFERROR(__xludf.DUMMYFUNCTION("""COMPUTED_VALUE"""),0.0)</f>
        <v>0</v>
      </c>
      <c r="X51" s="165">
        <f>IFERROR(__xludf.DUMMYFUNCTION("""COMPUTED_VALUE"""),45000.0)</f>
        <v>45000</v>
      </c>
      <c r="Y51" s="165">
        <f>IFERROR(__xludf.DUMMYFUNCTION("""COMPUTED_VALUE"""),0.0)</f>
        <v>0</v>
      </c>
      <c r="Z51" s="165">
        <f>IFERROR(__xludf.DUMMYFUNCTION("""COMPUTED_VALUE"""),0.0)</f>
        <v>0</v>
      </c>
      <c r="AA51" s="165">
        <f>IFERROR(__xludf.DUMMYFUNCTION("""COMPUTED_VALUE"""),0.0)</f>
        <v>0</v>
      </c>
      <c r="AB51" s="165">
        <f>IFERROR(__xludf.DUMMYFUNCTION("""COMPUTED_VALUE"""),0.0)</f>
        <v>0</v>
      </c>
      <c r="AC51" s="186">
        <f>IFERROR(__xludf.DUMMYFUNCTION("""COMPUTED_VALUE"""),463450.99)</f>
        <v>463450.99</v>
      </c>
      <c r="AD51" s="167">
        <f>IFERROR(__xludf.DUMMYFUNCTION("""COMPUTED_VALUE"""),463450.99)</f>
        <v>463450.99</v>
      </c>
      <c r="AE51" s="17"/>
      <c r="AF51" s="168"/>
      <c r="AG51" s="167"/>
      <c r="AH51" s="168"/>
      <c r="AI51" s="167"/>
      <c r="AJ51" s="17"/>
      <c r="AK51" s="168"/>
      <c r="AL51" s="304"/>
      <c r="AM51" s="305" t="str">
        <f>IFERROR(__xludf.DUMMYFUNCTION("""COMPUTED_VALUE"""),"Run under brand BM")</f>
        <v>Run under brand BM</v>
      </c>
      <c r="AN51" s="306" t="str">
        <f>IFERROR(__xludf.DUMMYFUNCTION("""COMPUTED_VALUE"""),"Run under brand BM")</f>
        <v>Run under brand BM</v>
      </c>
      <c r="AO51" s="17" t="str">
        <f>IFERROR(__xludf.DUMMYFUNCTION("""COMPUTED_VALUE"""),"Run under brand BM")</f>
        <v>Run under brand BM</v>
      </c>
      <c r="AP51" s="17"/>
      <c r="AQ51" s="168"/>
      <c r="AR51" s="17"/>
      <c r="AS51" s="17"/>
      <c r="AT51" s="17"/>
      <c r="AU51" s="17"/>
      <c r="AV51" s="17"/>
      <c r="AW51" s="17"/>
      <c r="AX51" s="17"/>
      <c r="AY51" s="17"/>
      <c r="AZ51" s="176"/>
      <c r="BA51" s="177"/>
      <c r="BB51" s="17"/>
      <c r="BC51" s="17"/>
      <c r="BD51" s="17"/>
      <c r="BE51" s="17"/>
      <c r="BF51" s="17"/>
      <c r="BG51" s="17"/>
      <c r="BH51" s="17"/>
      <c r="BI51" s="17"/>
      <c r="BJ51" s="17"/>
      <c r="BK51" s="308"/>
      <c r="BL51" s="151">
        <f>IFERROR(__xludf.DUMMYFUNCTION("""COMPUTED_VALUE"""),463450.99)</f>
        <v>463450.99</v>
      </c>
      <c r="BM51" s="180" t="str">
        <f>IFERROR(__xludf.DUMMYFUNCTION("""COMPUTED_VALUE"""),"Approval")</f>
        <v>Approval</v>
      </c>
      <c r="BN51" s="181">
        <f>IFERROR(__xludf.DUMMYFUNCTION("""COMPUTED_VALUE"""),46147.555186770835)</f>
        <v>46147.55519</v>
      </c>
      <c r="BO51" s="2"/>
      <c r="BP51" s="133"/>
      <c r="BQ51" s="133"/>
      <c r="BR51" s="133"/>
      <c r="BS51" s="25"/>
    </row>
    <row r="52" hidden="1">
      <c r="A52" s="151" t="str">
        <f>IFERROR(__xludf.DUMMYFUNCTION("""COMPUTED_VALUE"""),"April'26")</f>
        <v>April'26</v>
      </c>
      <c r="B52" s="152" t="str">
        <f>IFERROR(__xludf.DUMMYFUNCTION("""COMPUTED_VALUE"""),"MedPark")</f>
        <v>MedPark</v>
      </c>
      <c r="C52" s="234" t="str">
        <f>IFERROR(__xludf.DUMMYFUNCTION("""COMPUTED_VALUE"""),"5232 TPP HEALTHCARE INTERNATIONAL COMPANY LIMITED")</f>
        <v>5232 TPP HEALTHCARE INTERNATIONAL COMPANY LIMITED</v>
      </c>
      <c r="D52" s="239"/>
      <c r="E52" s="310" t="str">
        <f>IFERROR(__xludf.DUMMYFUNCTION("""COMPUTED_VALUE"""),"Ju")</f>
        <v>Ju</v>
      </c>
      <c r="F52" s="232"/>
      <c r="G52" s="157"/>
      <c r="H52" s="157">
        <f>IFERROR(__xludf.DUMMYFUNCTION("""COMPUTED_VALUE"""),0.08)</f>
        <v>0.08</v>
      </c>
      <c r="I52" s="157">
        <f>IFERROR(__xludf.DUMMYFUNCTION("""COMPUTED_VALUE"""),0.0)</f>
        <v>0</v>
      </c>
      <c r="J52" s="157">
        <f>IFERROR(__xludf.DUMMYFUNCTION("""COMPUTED_VALUE"""),0.0)</f>
        <v>0</v>
      </c>
      <c r="K52" s="158">
        <f>IFERROR(__xludf.DUMMYFUNCTION("""COMPUTED_VALUE"""),0.0)</f>
        <v>0</v>
      </c>
      <c r="L52" s="159">
        <f>IFERROR(__xludf.DUMMYFUNCTION("""COMPUTED_VALUE"""),0.0)</f>
        <v>0</v>
      </c>
      <c r="M52" s="3">
        <f>IFERROR(__xludf.DUMMYFUNCTION("""COMPUTED_VALUE"""),35000.0)</f>
        <v>35000</v>
      </c>
      <c r="N52" s="160"/>
      <c r="O52" s="185"/>
      <c r="P52" s="171">
        <f>IFERROR(__xludf.DUMMYFUNCTION("""COMPUTED_VALUE"""),455188.3128)</f>
        <v>455188.3128</v>
      </c>
      <c r="Q52" s="186">
        <f>IFERROR(__xludf.DUMMYFUNCTION("""COMPUTED_VALUE"""),31863.181896000006)</f>
        <v>31863.1819</v>
      </c>
      <c r="R52" s="171">
        <f>IFERROR(__xludf.DUMMYFUNCTION("""COMPUTED_VALUE"""),487051.494696)</f>
        <v>487051.4947</v>
      </c>
      <c r="S52" s="171">
        <f>IFERROR(__xludf.DUMMYFUNCTION("""COMPUTED_VALUE"""),0.0)</f>
        <v>0</v>
      </c>
      <c r="T52" s="171">
        <f>IFERROR(__xludf.DUMMYFUNCTION("""COMPUTED_VALUE"""),0.0)</f>
        <v>0</v>
      </c>
      <c r="U52" s="171">
        <f>IFERROR(__xludf.DUMMYFUNCTION("""COMPUTED_VALUE"""),0.0)</f>
        <v>0</v>
      </c>
      <c r="V52" s="171">
        <f>IFERROR(__xludf.DUMMYFUNCTION("""COMPUTED_VALUE"""),0.0)</f>
        <v>0</v>
      </c>
      <c r="W52" s="164">
        <f>IFERROR(__xludf.DUMMYFUNCTION("""COMPUTED_VALUE"""),421470.66000000003)</f>
        <v>421470.66</v>
      </c>
      <c r="X52" s="165">
        <f>IFERROR(__xludf.DUMMYFUNCTION("""COMPUTED_VALUE"""),33717.6528)</f>
        <v>33717.6528</v>
      </c>
      <c r="Y52" s="165">
        <f>IFERROR(__xludf.DUMMYFUNCTION("""COMPUTED_VALUE"""),0.0)</f>
        <v>0</v>
      </c>
      <c r="Z52" s="165">
        <f>IFERROR(__xludf.DUMMYFUNCTION("""COMPUTED_VALUE"""),0.0)</f>
        <v>0</v>
      </c>
      <c r="AA52" s="165">
        <f>IFERROR(__xludf.DUMMYFUNCTION("""COMPUTED_VALUE"""),29763.030000000002)</f>
        <v>29763.03</v>
      </c>
      <c r="AB52" s="165">
        <f>IFERROR(__xludf.DUMMYFUNCTION("""COMPUTED_VALUE"""),153286.74)</f>
        <v>153286.74</v>
      </c>
      <c r="AC52" s="186">
        <f>IFERROR(__xludf.DUMMYFUNCTION("""COMPUTED_VALUE"""),238420.89)</f>
        <v>238420.89</v>
      </c>
      <c r="AD52" s="167">
        <f>IFERROR(__xludf.DUMMYFUNCTION("""COMPUTED_VALUE"""),421470.66000000003)</f>
        <v>421470.66</v>
      </c>
      <c r="AE52" s="17"/>
      <c r="AF52" s="168"/>
      <c r="AG52" s="167"/>
      <c r="AH52" s="168"/>
      <c r="AI52" s="167"/>
      <c r="AJ52" s="17"/>
      <c r="AK52" s="168"/>
      <c r="AL52" s="169"/>
      <c r="AM52" s="178">
        <f>IFERROR(__xludf.DUMMYFUNCTION("""COMPUTED_VALUE"""),153286.74)</f>
        <v>153286.74</v>
      </c>
      <c r="AN52" s="170">
        <f>IFERROR(__xludf.DUMMYFUNCTION("""COMPUTED_VALUE"""),29763.030000000002)</f>
        <v>29763.03</v>
      </c>
      <c r="AO52" s="17">
        <f>IFERROR(__xludf.DUMMYFUNCTION("""COMPUTED_VALUE"""),238420.89)</f>
        <v>238420.89</v>
      </c>
      <c r="AP52" s="17"/>
      <c r="AQ52" s="168"/>
      <c r="AR52" s="17"/>
      <c r="AS52" s="17"/>
      <c r="AT52" s="17"/>
      <c r="AU52" s="17"/>
      <c r="AV52" s="17"/>
      <c r="AW52" s="17"/>
      <c r="AX52" s="17"/>
      <c r="AY52" s="17"/>
      <c r="AZ52" s="176"/>
      <c r="BA52" s="177"/>
      <c r="BB52" s="17"/>
      <c r="BC52" s="17"/>
      <c r="BD52" s="173"/>
      <c r="BE52" s="17">
        <f>IFERROR(__xludf.DUMMYFUNCTION("""COMPUTED_VALUE"""),153286.74)</f>
        <v>153286.74</v>
      </c>
      <c r="BF52" s="17"/>
      <c r="BG52" s="173"/>
      <c r="BH52" s="17">
        <f>IFERROR(__xludf.DUMMYFUNCTION("""COMPUTED_VALUE"""),29763.030000000002)</f>
        <v>29763.03</v>
      </c>
      <c r="BI52" s="17"/>
      <c r="BJ52" s="17"/>
      <c r="BK52" s="173"/>
      <c r="BL52" s="151">
        <f>IFERROR(__xludf.DUMMYFUNCTION("""COMPUTED_VALUE"""),238420.89)</f>
        <v>238420.89</v>
      </c>
      <c r="BM52" s="180" t="str">
        <f>IFERROR(__xludf.DUMMYFUNCTION("""COMPUTED_VALUE"""),"Approval")</f>
        <v>Approval</v>
      </c>
      <c r="BN52" s="181">
        <f>IFERROR(__xludf.DUMMYFUNCTION("""COMPUTED_VALUE"""),46147.70533578703)</f>
        <v>46147.70534</v>
      </c>
      <c r="BO52" s="2"/>
      <c r="BP52" s="133"/>
      <c r="BQ52" s="133"/>
      <c r="BR52" s="133"/>
      <c r="BS52" s="25"/>
    </row>
    <row r="53" hidden="1">
      <c r="A53" s="179"/>
      <c r="B53" s="152" t="str">
        <f>IFERROR(__xludf.DUMMYFUNCTION("""COMPUTED_VALUE"""),"MedPark - IVF")</f>
        <v>MedPark - IVF</v>
      </c>
      <c r="C53" s="234" t="str">
        <f>IFERROR(__xludf.DUMMYFUNCTION("""COMPUTED_VALUE"""),"MedPark IVF Co., Ltd.")</f>
        <v>MedPark IVF Co., Ltd.</v>
      </c>
      <c r="D53" s="239"/>
      <c r="E53" s="310" t="str">
        <f>IFERROR(__xludf.DUMMYFUNCTION("""COMPUTED_VALUE"""),"Ju")</f>
        <v>Ju</v>
      </c>
      <c r="F53" s="232"/>
      <c r="G53" s="157"/>
      <c r="H53" s="157">
        <f>IFERROR(__xludf.DUMMYFUNCTION("""COMPUTED_VALUE"""),0.08)</f>
        <v>0.08</v>
      </c>
      <c r="I53" s="157">
        <f>IFERROR(__xludf.DUMMYFUNCTION("""COMPUTED_VALUE"""),0.0)</f>
        <v>0</v>
      </c>
      <c r="J53" s="157">
        <f>IFERROR(__xludf.DUMMYFUNCTION("""COMPUTED_VALUE"""),0.0)</f>
        <v>0</v>
      </c>
      <c r="K53" s="158">
        <f>IFERROR(__xludf.DUMMYFUNCTION("""COMPUTED_VALUE"""),0.0)</f>
        <v>0</v>
      </c>
      <c r="M53" s="3"/>
      <c r="N53" s="160"/>
      <c r="O53" s="185"/>
      <c r="P53" s="171">
        <f>IFERROR(__xludf.DUMMYFUNCTION("""COMPUTED_VALUE"""),76802.4936)</f>
        <v>76802.4936</v>
      </c>
      <c r="Q53" s="186">
        <f>IFERROR(__xludf.DUMMYFUNCTION("""COMPUTED_VALUE"""),5376.174552)</f>
        <v>5376.174552</v>
      </c>
      <c r="R53" s="171">
        <f>IFERROR(__xludf.DUMMYFUNCTION("""COMPUTED_VALUE"""),82178.668152)</f>
        <v>82178.66815</v>
      </c>
      <c r="S53" s="171">
        <f>IFERROR(__xludf.DUMMYFUNCTION("""COMPUTED_VALUE"""),0.0)</f>
        <v>0</v>
      </c>
      <c r="T53" s="171">
        <f>IFERROR(__xludf.DUMMYFUNCTION("""COMPUTED_VALUE"""),0.0)</f>
        <v>0</v>
      </c>
      <c r="U53" s="171">
        <f>IFERROR(__xludf.DUMMYFUNCTION("""COMPUTED_VALUE"""),0.0)</f>
        <v>0</v>
      </c>
      <c r="V53" s="171">
        <f>IFERROR(__xludf.DUMMYFUNCTION("""COMPUTED_VALUE"""),0.0)</f>
        <v>0</v>
      </c>
      <c r="W53" s="164">
        <f>IFERROR(__xludf.DUMMYFUNCTION("""COMPUTED_VALUE"""),71113.42)</f>
        <v>71113.42</v>
      </c>
      <c r="X53" s="165">
        <f>IFERROR(__xludf.DUMMYFUNCTION("""COMPUTED_VALUE"""),5689.0736)</f>
        <v>5689.0736</v>
      </c>
      <c r="Y53" s="165">
        <f>IFERROR(__xludf.DUMMYFUNCTION("""COMPUTED_VALUE"""),0.0)</f>
        <v>0</v>
      </c>
      <c r="Z53" s="165">
        <f>IFERROR(__xludf.DUMMYFUNCTION("""COMPUTED_VALUE"""),0.0)</f>
        <v>0</v>
      </c>
      <c r="AA53" s="165">
        <f>IFERROR(__xludf.DUMMYFUNCTION("""COMPUTED_VALUE"""),0.0)</f>
        <v>0</v>
      </c>
      <c r="AB53" s="165">
        <f>IFERROR(__xludf.DUMMYFUNCTION("""COMPUTED_VALUE"""),71113.42)</f>
        <v>71113.42</v>
      </c>
      <c r="AC53" s="186">
        <f>IFERROR(__xludf.DUMMYFUNCTION("""COMPUTED_VALUE"""),0.0)</f>
        <v>0</v>
      </c>
      <c r="AD53" s="167">
        <f>IFERROR(__xludf.DUMMYFUNCTION("""COMPUTED_VALUE"""),71113.42)</f>
        <v>71113.42</v>
      </c>
      <c r="AE53" s="17"/>
      <c r="AF53" s="168"/>
      <c r="AG53" s="167"/>
      <c r="AH53" s="168"/>
      <c r="AI53" s="167"/>
      <c r="AJ53" s="17"/>
      <c r="AK53" s="168"/>
      <c r="AL53" s="169"/>
      <c r="AM53" s="17">
        <f>IFERROR(__xludf.DUMMYFUNCTION("""COMPUTED_VALUE"""),71113.42)</f>
        <v>71113.42</v>
      </c>
      <c r="AN53" s="168"/>
      <c r="AO53" s="17"/>
      <c r="AP53" s="17"/>
      <c r="AQ53" s="168"/>
      <c r="AR53" s="17"/>
      <c r="AS53" s="17"/>
      <c r="AT53" s="17"/>
      <c r="AU53" s="17"/>
      <c r="AV53" s="17"/>
      <c r="AW53" s="17"/>
      <c r="AX53" s="17"/>
      <c r="AY53" s="17"/>
      <c r="AZ53" s="176"/>
      <c r="BA53" s="177"/>
      <c r="BB53" s="17"/>
      <c r="BC53" s="17"/>
      <c r="BD53" s="173"/>
      <c r="BE53" s="17">
        <f>IFERROR(__xludf.DUMMYFUNCTION("""COMPUTED_VALUE"""),71113.42)</f>
        <v>71113.42</v>
      </c>
      <c r="BF53" s="17"/>
      <c r="BG53" s="17"/>
      <c r="BH53" s="17"/>
      <c r="BI53" s="17"/>
      <c r="BJ53" s="17"/>
      <c r="BK53" s="17"/>
      <c r="BL53" s="179"/>
      <c r="BM53" s="181" t="str">
        <f>IFERROR(__xludf.DUMMYFUNCTION("""COMPUTED_VALUE"""),"Approval")</f>
        <v>Approval</v>
      </c>
      <c r="BN53" s="2"/>
      <c r="BO53" s="2"/>
      <c r="BP53" s="133"/>
      <c r="BQ53" s="133"/>
      <c r="BR53" s="133"/>
      <c r="BS53" s="25"/>
    </row>
    <row r="54" hidden="1">
      <c r="A54" s="151" t="str">
        <f>IFERROR(__xludf.DUMMYFUNCTION("""COMPUTED_VALUE"""),"April'26")</f>
        <v>April'26</v>
      </c>
      <c r="B54" s="152" t="str">
        <f>IFERROR(__xludf.DUMMYFUNCTION("""COMPUTED_VALUE"""),"CMG - Dyson")</f>
        <v>CMG - Dyson</v>
      </c>
      <c r="C54" s="234" t="str">
        <f>IFERROR(__xludf.DUMMYFUNCTION("""COMPUTED_VALUE"""),"6231 PRO -1 Central Trading Co., Ltd. : Dyson")</f>
        <v>6231 PRO -1 Central Trading Co., Ltd. : Dyson</v>
      </c>
      <c r="D54" s="239"/>
      <c r="E54" s="310" t="str">
        <f>IFERROR(__xludf.DUMMYFUNCTION("""COMPUTED_VALUE"""),"Roger")</f>
        <v>Roger</v>
      </c>
      <c r="F54" s="156"/>
      <c r="G54" s="313" t="str">
        <f>IFERROR(__xludf.DUMMYFUNCTION("""COMPUTED_VALUE"""),"Pompam")</f>
        <v>Pompam</v>
      </c>
      <c r="H54" s="157">
        <f>IFERROR(__xludf.DUMMYFUNCTION("""COMPUTED_VALUE"""),0.075)</f>
        <v>0.075</v>
      </c>
      <c r="I54" s="157">
        <f>IFERROR(__xludf.DUMMYFUNCTION("""COMPUTED_VALUE"""),0.0)</f>
        <v>0</v>
      </c>
      <c r="J54" s="157">
        <f>IFERROR(__xludf.DUMMYFUNCTION("""COMPUTED_VALUE"""),0.0)</f>
        <v>0</v>
      </c>
      <c r="K54" s="158">
        <f>IFERROR(__xludf.DUMMYFUNCTION("""COMPUTED_VALUE"""),0.0)</f>
        <v>0</v>
      </c>
      <c r="L54" s="159">
        <f>IFERROR(__xludf.DUMMYFUNCTION("""COMPUTED_VALUE"""),0.0)</f>
        <v>0</v>
      </c>
      <c r="M54" s="3">
        <f>IFERROR(__xludf.DUMMYFUNCTION("""COMPUTED_VALUE"""),0.0)</f>
        <v>0</v>
      </c>
      <c r="N54" s="160"/>
      <c r="O54" s="185"/>
      <c r="P54" s="171">
        <f>IFERROR(__xludf.DUMMYFUNCTION("""COMPUTED_VALUE"""),400137.54274999996)</f>
        <v>400137.5428</v>
      </c>
      <c r="Q54" s="186">
        <f>IFERROR(__xludf.DUMMYFUNCTION("""COMPUTED_VALUE"""),28009.6279925)</f>
        <v>28009.62799</v>
      </c>
      <c r="R54" s="171">
        <f>IFERROR(__xludf.DUMMYFUNCTION("""COMPUTED_VALUE"""),428147.1707425)</f>
        <v>428147.1707</v>
      </c>
      <c r="S54" s="171">
        <f>IFERROR(__xludf.DUMMYFUNCTION("""COMPUTED_VALUE"""),0.0)</f>
        <v>0</v>
      </c>
      <c r="T54" s="171">
        <f>IFERROR(__xludf.DUMMYFUNCTION("""COMPUTED_VALUE"""),0.0)</f>
        <v>0</v>
      </c>
      <c r="U54" s="171">
        <f>IFERROR(__xludf.DUMMYFUNCTION("""COMPUTED_VALUE"""),0.0)</f>
        <v>0</v>
      </c>
      <c r="V54" s="171">
        <f>IFERROR(__xludf.DUMMYFUNCTION("""COMPUTED_VALUE"""),0.0)</f>
        <v>0</v>
      </c>
      <c r="W54" s="164">
        <f>IFERROR(__xludf.DUMMYFUNCTION("""COMPUTED_VALUE"""),372220.97)</f>
        <v>372220.97</v>
      </c>
      <c r="X54" s="165">
        <f>IFERROR(__xludf.DUMMYFUNCTION("""COMPUTED_VALUE"""),27916.572749999996)</f>
        <v>27916.57275</v>
      </c>
      <c r="Y54" s="165">
        <f>IFERROR(__xludf.DUMMYFUNCTION("""COMPUTED_VALUE"""),0.0)</f>
        <v>0</v>
      </c>
      <c r="Z54" s="165">
        <f>IFERROR(__xludf.DUMMYFUNCTION("""COMPUTED_VALUE"""),0.0)</f>
        <v>0</v>
      </c>
      <c r="AA54" s="165">
        <f>IFERROR(__xludf.DUMMYFUNCTION("""COMPUTED_VALUE"""),138952.28)</f>
        <v>138952.28</v>
      </c>
      <c r="AB54" s="165">
        <f>IFERROR(__xludf.DUMMYFUNCTION("""COMPUTED_VALUE"""),233268.69)</f>
        <v>233268.69</v>
      </c>
      <c r="AC54" s="186">
        <f>IFERROR(__xludf.DUMMYFUNCTION("""COMPUTED_VALUE"""),0.0)</f>
        <v>0</v>
      </c>
      <c r="AD54" s="167">
        <f>IFERROR(__xludf.DUMMYFUNCTION("""COMPUTED_VALUE"""),372220.97)</f>
        <v>372220.97</v>
      </c>
      <c r="AE54" s="17"/>
      <c r="AF54" s="168"/>
      <c r="AG54" s="167"/>
      <c r="AH54" s="168"/>
      <c r="AI54" s="167"/>
      <c r="AJ54" s="17"/>
      <c r="AK54" s="168"/>
      <c r="AL54" s="185"/>
      <c r="AM54" s="171">
        <f>IFERROR(__xludf.DUMMYFUNCTION("""COMPUTED_VALUE"""),233268.69)</f>
        <v>233268.69</v>
      </c>
      <c r="AN54" s="168">
        <f>IFERROR(__xludf.DUMMYFUNCTION("""COMPUTED_VALUE"""),138952.28)</f>
        <v>138952.28</v>
      </c>
      <c r="AO54" s="17"/>
      <c r="AP54" s="17"/>
      <c r="AQ54" s="168"/>
      <c r="AR54" s="17"/>
      <c r="AS54" s="17"/>
      <c r="AT54" s="17"/>
      <c r="AU54" s="17"/>
      <c r="AV54" s="17"/>
      <c r="AW54" s="17"/>
      <c r="AX54" s="17"/>
      <c r="AY54" s="17"/>
      <c r="AZ54" s="176"/>
      <c r="BA54" s="177"/>
      <c r="BB54" s="17"/>
      <c r="BC54" s="17"/>
      <c r="BD54" s="173"/>
      <c r="BE54" s="17">
        <f>IFERROR(__xludf.DUMMYFUNCTION("""COMPUTED_VALUE"""),233268.69)</f>
        <v>233268.69</v>
      </c>
      <c r="BF54" s="17"/>
      <c r="BG54" s="173"/>
      <c r="BH54" s="17">
        <f>IFERROR(__xludf.DUMMYFUNCTION("""COMPUTED_VALUE"""),138952.28)</f>
        <v>138952.28</v>
      </c>
      <c r="BI54" s="17"/>
      <c r="BJ54" s="17"/>
      <c r="BK54" s="17"/>
      <c r="BL54" s="179"/>
      <c r="BM54" s="180" t="str">
        <f>IFERROR(__xludf.DUMMYFUNCTION("""COMPUTED_VALUE"""),"Approval")</f>
        <v>Approval</v>
      </c>
      <c r="BN54" s="181">
        <f>IFERROR(__xludf.DUMMYFUNCTION("""COMPUTED_VALUE"""),46147.70535722222)</f>
        <v>46147.70536</v>
      </c>
      <c r="BO54" s="2"/>
      <c r="BP54" s="133"/>
      <c r="BQ54" s="133"/>
      <c r="BR54" s="133"/>
      <c r="BS54" s="25"/>
    </row>
    <row r="55" hidden="1">
      <c r="A55" s="151" t="str">
        <f>IFERROR(__xludf.DUMMYFUNCTION("""COMPUTED_VALUE"""),"April'26")</f>
        <v>April'26</v>
      </c>
      <c r="B55" s="152" t="str">
        <f>IFERROR(__xludf.DUMMYFUNCTION("""COMPUTED_VALUE"""),"CMG - Aveda")</f>
        <v>CMG - Aveda</v>
      </c>
      <c r="C55" s="234" t="str">
        <f>IFERROR(__xludf.DUMMYFUNCTION("""COMPUTED_VALUE"""),"6231  PRO -3 Central Trading Co., Ltd. : Aveda")</f>
        <v>6231  PRO -3 Central Trading Co., Ltd. : Aveda</v>
      </c>
      <c r="D55" s="239"/>
      <c r="E55" s="310" t="str">
        <f>IFERROR(__xludf.DUMMYFUNCTION("""COMPUTED_VALUE"""),"Ter")</f>
        <v>Ter</v>
      </c>
      <c r="F55" s="156"/>
      <c r="G55" s="313" t="str">
        <f>IFERROR(__xludf.DUMMYFUNCTION("""COMPUTED_VALUE"""),"Pompam")</f>
        <v>Pompam</v>
      </c>
      <c r="H55" s="157">
        <f>IFERROR(__xludf.DUMMYFUNCTION("""COMPUTED_VALUE"""),0.075)</f>
        <v>0.075</v>
      </c>
      <c r="I55" s="157">
        <f>IFERROR(__xludf.DUMMYFUNCTION("""COMPUTED_VALUE"""),0.0)</f>
        <v>0</v>
      </c>
      <c r="J55" s="157">
        <f>IFERROR(__xludf.DUMMYFUNCTION("""COMPUTED_VALUE"""),0.0)</f>
        <v>0</v>
      </c>
      <c r="K55" s="158">
        <f>IFERROR(__xludf.DUMMYFUNCTION("""COMPUTED_VALUE"""),0.0)</f>
        <v>0</v>
      </c>
      <c r="L55" s="159">
        <f>IFERROR(__xludf.DUMMYFUNCTION("""COMPUTED_VALUE"""),0.0)</f>
        <v>0</v>
      </c>
      <c r="M55" s="3">
        <f>IFERROR(__xludf.DUMMYFUNCTION("""COMPUTED_VALUE"""),0.0)</f>
        <v>0</v>
      </c>
      <c r="N55" s="160"/>
      <c r="O55" s="185"/>
      <c r="P55" s="171">
        <f>IFERROR(__xludf.DUMMYFUNCTION("""COMPUTED_VALUE"""),39028.72425)</f>
        <v>39028.72425</v>
      </c>
      <c r="Q55" s="186">
        <f>IFERROR(__xludf.DUMMYFUNCTION("""COMPUTED_VALUE"""),2732.0106975000003)</f>
        <v>2732.010698</v>
      </c>
      <c r="R55" s="171">
        <f>IFERROR(__xludf.DUMMYFUNCTION("""COMPUTED_VALUE"""),41760.7349475)</f>
        <v>41760.73495</v>
      </c>
      <c r="S55" s="171">
        <f>IFERROR(__xludf.DUMMYFUNCTION("""COMPUTED_VALUE"""),0.0)</f>
        <v>0</v>
      </c>
      <c r="T55" s="171">
        <f>IFERROR(__xludf.DUMMYFUNCTION("""COMPUTED_VALUE"""),0.0)</f>
        <v>0</v>
      </c>
      <c r="U55" s="171">
        <f>IFERROR(__xludf.DUMMYFUNCTION("""COMPUTED_VALUE"""),0.0)</f>
        <v>0</v>
      </c>
      <c r="V55" s="171">
        <f>IFERROR(__xludf.DUMMYFUNCTION("""COMPUTED_VALUE"""),0.0)</f>
        <v>0</v>
      </c>
      <c r="W55" s="164">
        <f>IFERROR(__xludf.DUMMYFUNCTION("""COMPUTED_VALUE"""),36305.79)</f>
        <v>36305.79</v>
      </c>
      <c r="X55" s="165">
        <f>IFERROR(__xludf.DUMMYFUNCTION("""COMPUTED_VALUE"""),2722.93425)</f>
        <v>2722.93425</v>
      </c>
      <c r="Y55" s="165">
        <f>IFERROR(__xludf.DUMMYFUNCTION("""COMPUTED_VALUE"""),0.0)</f>
        <v>0</v>
      </c>
      <c r="Z55" s="165">
        <f>IFERROR(__xludf.DUMMYFUNCTION("""COMPUTED_VALUE"""),0.0)</f>
        <v>0</v>
      </c>
      <c r="AA55" s="165">
        <f>IFERROR(__xludf.DUMMYFUNCTION("""COMPUTED_VALUE"""),0.0)</f>
        <v>0</v>
      </c>
      <c r="AB55" s="165">
        <f>IFERROR(__xludf.DUMMYFUNCTION("""COMPUTED_VALUE"""),36305.79)</f>
        <v>36305.79</v>
      </c>
      <c r="AC55" s="186">
        <f>IFERROR(__xludf.DUMMYFUNCTION("""COMPUTED_VALUE"""),0.0)</f>
        <v>0</v>
      </c>
      <c r="AD55" s="167">
        <f>IFERROR(__xludf.DUMMYFUNCTION("""COMPUTED_VALUE"""),36305.79)</f>
        <v>36305.79</v>
      </c>
      <c r="AE55" s="17"/>
      <c r="AF55" s="168"/>
      <c r="AG55" s="167"/>
      <c r="AH55" s="168"/>
      <c r="AI55" s="167"/>
      <c r="AJ55" s="17"/>
      <c r="AK55" s="168"/>
      <c r="AL55" s="185"/>
      <c r="AM55" s="314">
        <f>IFERROR(__xludf.DUMMYFUNCTION("""COMPUTED_VALUE"""),36305.79)</f>
        <v>36305.79</v>
      </c>
      <c r="AN55" s="172"/>
      <c r="AO55" s="17"/>
      <c r="AP55" s="17"/>
      <c r="AQ55" s="168"/>
      <c r="AR55" s="17"/>
      <c r="AS55" s="17"/>
      <c r="AT55" s="17"/>
      <c r="AU55" s="17"/>
      <c r="AV55" s="17"/>
      <c r="AW55" s="17"/>
      <c r="AX55" s="17"/>
      <c r="AY55" s="17"/>
      <c r="AZ55" s="176"/>
      <c r="BA55" s="177"/>
      <c r="BB55" s="17"/>
      <c r="BC55" s="17"/>
      <c r="BD55" s="173"/>
      <c r="BE55" s="17">
        <f>IFERROR(__xludf.DUMMYFUNCTION("""COMPUTED_VALUE"""),36305.79)</f>
        <v>36305.79</v>
      </c>
      <c r="BF55" s="17"/>
      <c r="BG55" s="178"/>
      <c r="BH55" s="133">
        <f>IFERROR(__xludf.DUMMYFUNCTION("""COMPUTED_VALUE"""),0.0)</f>
        <v>0</v>
      </c>
      <c r="BI55" s="17"/>
      <c r="BJ55" s="17"/>
      <c r="BK55" s="17"/>
      <c r="BL55" s="179"/>
      <c r="BM55" s="180" t="str">
        <f>IFERROR(__xludf.DUMMYFUNCTION("""COMPUTED_VALUE"""),"Approval")</f>
        <v>Approval</v>
      </c>
      <c r="BN55" s="181">
        <f>IFERROR(__xludf.DUMMYFUNCTION("""COMPUTED_VALUE"""),46146.95588847222)</f>
        <v>46146.95589</v>
      </c>
      <c r="BO55" s="2"/>
      <c r="BP55" s="133"/>
      <c r="BQ55" s="133"/>
      <c r="BR55" s="133"/>
      <c r="BS55" s="25"/>
    </row>
    <row r="56" hidden="1">
      <c r="A56" s="151" t="str">
        <f>IFERROR(__xludf.DUMMYFUNCTION("""COMPUTED_VALUE"""),"April'26")</f>
        <v>April'26</v>
      </c>
      <c r="B56" s="152" t="str">
        <f>IFERROR(__xludf.DUMMYFUNCTION("""COMPUTED_VALUE"""),"SharkNinja - MKT")</f>
        <v>SharkNinja - MKT</v>
      </c>
      <c r="C56" s="234" t="str">
        <f>IFERROR(__xludf.DUMMYFUNCTION("""COMPUTED_VALUE"""),"6265 PB Logistic Co., Ltd.")</f>
        <v>6265 PB Logistic Co., Ltd.</v>
      </c>
      <c r="D56" s="239"/>
      <c r="E56" s="189" t="str">
        <f>IFERROR(__xludf.DUMMYFUNCTION("""COMPUTED_VALUE"""),"Un")</f>
        <v>Un</v>
      </c>
      <c r="F56" s="156" t="str">
        <f>IFERROR(__xludf.DUMMYFUNCTION("""COMPUTED_VALUE"""),"First")</f>
        <v>First</v>
      </c>
      <c r="G56" s="157" t="str">
        <f>IFERROR(__xludf.DUMMYFUNCTION("""COMPUTED_VALUE"""),"Pompam")</f>
        <v>Pompam</v>
      </c>
      <c r="H56" s="157">
        <f>IFERROR(__xludf.DUMMYFUNCTION("""COMPUTED_VALUE"""),0.15)</f>
        <v>0.15</v>
      </c>
      <c r="I56" s="157">
        <f>IFERROR(__xludf.DUMMYFUNCTION("""COMPUTED_VALUE"""),0.0)</f>
        <v>0</v>
      </c>
      <c r="J56" s="157">
        <f>IFERROR(__xludf.DUMMYFUNCTION("""COMPUTED_VALUE"""),0.0)</f>
        <v>0</v>
      </c>
      <c r="K56" s="158">
        <f>IFERROR(__xludf.DUMMYFUNCTION("""COMPUTED_VALUE"""),0.0)</f>
        <v>0</v>
      </c>
      <c r="L56" s="159">
        <f>IFERROR(__xludf.DUMMYFUNCTION("""COMPUTED_VALUE"""),0.0)</f>
        <v>0</v>
      </c>
      <c r="M56" s="3">
        <f>IFERROR(__xludf.DUMMYFUNCTION("""COMPUTED_VALUE"""),0.0)</f>
        <v>0</v>
      </c>
      <c r="N56" s="160"/>
      <c r="O56" s="185"/>
      <c r="P56" s="171">
        <f>IFERROR(__xludf.DUMMYFUNCTION("""COMPUTED_VALUE"""),742293.3445000001)</f>
        <v>742293.3445</v>
      </c>
      <c r="Q56" s="186">
        <f>IFERROR(__xludf.DUMMYFUNCTION("""COMPUTED_VALUE"""),51960.53411500002)</f>
        <v>51960.53412</v>
      </c>
      <c r="R56" s="171">
        <f>IFERROR(__xludf.DUMMYFUNCTION("""COMPUTED_VALUE"""),794253.8786150002)</f>
        <v>794253.8786</v>
      </c>
      <c r="S56" s="171">
        <f>IFERROR(__xludf.DUMMYFUNCTION("""COMPUTED_VALUE"""),0.0)</f>
        <v>0</v>
      </c>
      <c r="T56" s="171">
        <f>IFERROR(__xludf.DUMMYFUNCTION("""COMPUTED_VALUE"""),0.0)</f>
        <v>0</v>
      </c>
      <c r="U56" s="171">
        <f>IFERROR(__xludf.DUMMYFUNCTION("""COMPUTED_VALUE"""),0.0)</f>
        <v>0</v>
      </c>
      <c r="V56" s="171">
        <f>IFERROR(__xludf.DUMMYFUNCTION("""COMPUTED_VALUE"""),0.0)</f>
        <v>0</v>
      </c>
      <c r="W56" s="164">
        <f>IFERROR(__xludf.DUMMYFUNCTION("""COMPUTED_VALUE"""),464715.07000000007)</f>
        <v>464715.07</v>
      </c>
      <c r="X56" s="165">
        <f>IFERROR(__xludf.DUMMYFUNCTION("""COMPUTED_VALUE"""),277578.2745)</f>
        <v>277578.2745</v>
      </c>
      <c r="Y56" s="165">
        <f>IFERROR(__xludf.DUMMYFUNCTION("""COMPUTED_VALUE"""),1187275.8800000001)</f>
        <v>1187275.88</v>
      </c>
      <c r="Z56" s="165">
        <f>IFERROR(__xludf.DUMMYFUNCTION("""COMPUTED_VALUE"""),198530.88)</f>
        <v>198530.88</v>
      </c>
      <c r="AA56" s="165">
        <f>IFERROR(__xludf.DUMMYFUNCTION("""COMPUTED_VALUE"""),0.0)</f>
        <v>0</v>
      </c>
      <c r="AB56" s="165">
        <f>IFERROR(__xludf.DUMMYFUNCTION("""COMPUTED_VALUE"""),388656.34)</f>
        <v>388656.34</v>
      </c>
      <c r="AC56" s="186">
        <f>IFERROR(__xludf.DUMMYFUNCTION("""COMPUTED_VALUE"""),76058.73000000001)</f>
        <v>76058.73</v>
      </c>
      <c r="AD56" s="167">
        <f>IFERROR(__xludf.DUMMYFUNCTION("""COMPUTED_VALUE"""),1850521.83)</f>
        <v>1850521.83</v>
      </c>
      <c r="AE56" s="17"/>
      <c r="AF56" s="168"/>
      <c r="AG56" s="167"/>
      <c r="AH56" s="168"/>
      <c r="AI56" s="167"/>
      <c r="AJ56" s="17"/>
      <c r="AK56" s="168"/>
      <c r="AL56" s="185"/>
      <c r="AM56" s="17">
        <f>IFERROR(__xludf.DUMMYFUNCTION("""COMPUTED_VALUE"""),388656.34)</f>
        <v>388656.34</v>
      </c>
      <c r="AN56" s="186"/>
      <c r="AO56" s="17">
        <f>IFERROR(__xludf.DUMMYFUNCTION("""COMPUTED_VALUE"""),76058.73000000001)</f>
        <v>76058.73</v>
      </c>
      <c r="AP56" s="17"/>
      <c r="AQ56" s="168"/>
      <c r="AR56" s="178"/>
      <c r="AS56" s="178">
        <f>IFERROR(__xludf.DUMMYFUNCTION("""COMPUTED_VALUE"""),4413.54)</f>
        <v>4413.54</v>
      </c>
      <c r="AT56" s="17">
        <f>IFERROR(__xludf.DUMMYFUNCTION("""COMPUTED_VALUE"""),1182862.34)</f>
        <v>1182862.34</v>
      </c>
      <c r="AU56" s="17"/>
      <c r="AV56" s="173"/>
      <c r="AW56" s="173">
        <f>IFERROR(__xludf.DUMMYFUNCTION("""COMPUTED_VALUE"""),37146.520000000004)</f>
        <v>37146.52</v>
      </c>
      <c r="AX56" s="17">
        <f>IFERROR(__xludf.DUMMYFUNCTION("""COMPUTED_VALUE"""),161384.36)</f>
        <v>161384.36</v>
      </c>
      <c r="AY56" s="17"/>
      <c r="AZ56" s="176"/>
      <c r="BA56" s="311"/>
      <c r="BB56" s="173">
        <f>IFERROR(__xludf.DUMMYFUNCTION("""COMPUTED_VALUE"""),140004.67)</f>
        <v>140004.67</v>
      </c>
      <c r="BC56" s="17">
        <f>IFERROR(__xludf.DUMMYFUNCTION("""COMPUTED_VALUE"""),248651.67)</f>
        <v>248651.67</v>
      </c>
      <c r="BD56" s="17"/>
      <c r="BE56" s="17"/>
      <c r="BF56" s="17"/>
      <c r="BG56" s="17"/>
      <c r="BH56" s="17"/>
      <c r="BI56" s="17"/>
      <c r="BJ56" s="17"/>
      <c r="BK56" s="173"/>
      <c r="BL56" s="151">
        <f>IFERROR(__xludf.DUMMYFUNCTION("""COMPUTED_VALUE"""),76058.73000000001)</f>
        <v>76058.73</v>
      </c>
      <c r="BM56" s="180" t="str">
        <f>IFERROR(__xludf.DUMMYFUNCTION("""COMPUTED_VALUE"""),"Approval")</f>
        <v>Approval</v>
      </c>
      <c r="BN56" s="181">
        <f>IFERROR(__xludf.DUMMYFUNCTION("""COMPUTED_VALUE"""),46148.43253471065)</f>
        <v>46148.43253</v>
      </c>
      <c r="BO56" s="2"/>
      <c r="BP56" s="133"/>
      <c r="BQ56" s="133"/>
      <c r="BR56" s="133"/>
      <c r="BS56" s="25"/>
    </row>
    <row r="57" hidden="1">
      <c r="A57" s="179"/>
      <c r="B57" s="152" t="str">
        <f>IFERROR(__xludf.DUMMYFUNCTION("""COMPUTED_VALUE"""),"SharkNinja - MKT (Affiliate only)")</f>
        <v>SharkNinja - MKT (Affiliate only)</v>
      </c>
      <c r="C57" s="234" t="str">
        <f>IFERROR(__xludf.DUMMYFUNCTION("""COMPUTED_VALUE"""),"6265 PB Logistic Co., Ltd.")</f>
        <v>6265 PB Logistic Co., Ltd.</v>
      </c>
      <c r="D57" s="239"/>
      <c r="E57" s="189" t="str">
        <f>IFERROR(__xludf.DUMMYFUNCTION("""COMPUTED_VALUE"""),"Un")</f>
        <v>Un</v>
      </c>
      <c r="F57" s="156" t="str">
        <f>IFERROR(__xludf.DUMMYFUNCTION("""COMPUTED_VALUE"""),"First")</f>
        <v>First</v>
      </c>
      <c r="G57" s="157" t="str">
        <f>IFERROR(__xludf.DUMMYFUNCTION("""COMPUTED_VALUE"""),"Pompam")</f>
        <v>Pompam</v>
      </c>
      <c r="H57" s="157">
        <f>IFERROR(__xludf.DUMMYFUNCTION("""COMPUTED_VALUE"""),0.15)</f>
        <v>0.15</v>
      </c>
      <c r="I57" s="157">
        <f>IFERROR(__xludf.DUMMYFUNCTION("""COMPUTED_VALUE"""),0.0)</f>
        <v>0</v>
      </c>
      <c r="J57" s="157">
        <f>IFERROR(__xludf.DUMMYFUNCTION("""COMPUTED_VALUE"""),0.0)</f>
        <v>0</v>
      </c>
      <c r="K57" s="158">
        <f>IFERROR(__xludf.DUMMYFUNCTION("""COMPUTED_VALUE"""),0.0)</f>
        <v>0</v>
      </c>
      <c r="L57" s="159">
        <f>IFERROR(__xludf.DUMMYFUNCTION("""COMPUTED_VALUE"""),0.0)</f>
        <v>0</v>
      </c>
      <c r="M57" s="3">
        <f>IFERROR(__xludf.DUMMYFUNCTION("""COMPUTED_VALUE"""),0.0)</f>
        <v>0</v>
      </c>
      <c r="N57" s="160"/>
      <c r="O57" s="185"/>
      <c r="P57" s="171">
        <f>IFERROR(__xludf.DUMMYFUNCTION("""COMPUTED_VALUE"""),57575.492999999995)</f>
        <v>57575.493</v>
      </c>
      <c r="Q57" s="186">
        <f>IFERROR(__xludf.DUMMYFUNCTION("""COMPUTED_VALUE"""),4030.28451)</f>
        <v>4030.28451</v>
      </c>
      <c r="R57" s="171">
        <f>IFERROR(__xludf.DUMMYFUNCTION("""COMPUTED_VALUE"""),61605.77750999999)</f>
        <v>61605.77751</v>
      </c>
      <c r="S57" s="171">
        <f>IFERROR(__xludf.DUMMYFUNCTION("""COMPUTED_VALUE"""),0.0)</f>
        <v>0</v>
      </c>
      <c r="T57" s="171">
        <f>IFERROR(__xludf.DUMMYFUNCTION("""COMPUTED_VALUE"""),0.0)</f>
        <v>0</v>
      </c>
      <c r="U57" s="171">
        <f>IFERROR(__xludf.DUMMYFUNCTION("""COMPUTED_VALUE"""),0.0)</f>
        <v>0</v>
      </c>
      <c r="V57" s="171">
        <f>IFERROR(__xludf.DUMMYFUNCTION("""COMPUTED_VALUE"""),0.0)</f>
        <v>0</v>
      </c>
      <c r="W57" s="164">
        <f>IFERROR(__xludf.DUMMYFUNCTION("""COMPUTED_VALUE"""),0.0)</f>
        <v>0</v>
      </c>
      <c r="X57" s="165">
        <f>IFERROR(__xludf.DUMMYFUNCTION("""COMPUTED_VALUE"""),57575.492999999995)</f>
        <v>57575.493</v>
      </c>
      <c r="Y57" s="165">
        <f>IFERROR(__xludf.DUMMYFUNCTION("""COMPUTED_VALUE"""),288735.57)</f>
        <v>288735.57</v>
      </c>
      <c r="Z57" s="165">
        <f>IFERROR(__xludf.DUMMYFUNCTION("""COMPUTED_VALUE"""),95101.05)</f>
        <v>95101.05</v>
      </c>
      <c r="AA57" s="165">
        <f>IFERROR(__xludf.DUMMYFUNCTION("""COMPUTED_VALUE"""),0.0)</f>
        <v>0</v>
      </c>
      <c r="AB57" s="165">
        <f>IFERROR(__xludf.DUMMYFUNCTION("""COMPUTED_VALUE"""),0.0)</f>
        <v>0</v>
      </c>
      <c r="AC57" s="186">
        <f>IFERROR(__xludf.DUMMYFUNCTION("""COMPUTED_VALUE"""),0.0)</f>
        <v>0</v>
      </c>
      <c r="AD57" s="167">
        <f>IFERROR(__xludf.DUMMYFUNCTION("""COMPUTED_VALUE"""),383836.62)</f>
        <v>383836.62</v>
      </c>
      <c r="AE57" s="17"/>
      <c r="AF57" s="168"/>
      <c r="AG57" s="167"/>
      <c r="AH57" s="168"/>
      <c r="AI57" s="167"/>
      <c r="AJ57" s="17"/>
      <c r="AK57" s="168"/>
      <c r="AL57" s="17"/>
      <c r="AM57" s="17"/>
      <c r="AN57" s="168"/>
      <c r="AO57" s="17"/>
      <c r="AP57" s="17"/>
      <c r="AQ57" s="168"/>
      <c r="AR57" s="17"/>
      <c r="AS57" s="17"/>
      <c r="AT57" s="17"/>
      <c r="AU57" s="178"/>
      <c r="AV57" s="17">
        <f>IFERROR(__xludf.DUMMYFUNCTION("""COMPUTED_VALUE"""),288735.57)</f>
        <v>288735.57</v>
      </c>
      <c r="AW57" s="17"/>
      <c r="AX57" s="173"/>
      <c r="AY57" s="17">
        <f>IFERROR(__xludf.DUMMYFUNCTION("""COMPUTED_VALUE"""),95101.05)</f>
        <v>95101.05</v>
      </c>
      <c r="AZ57" s="176"/>
      <c r="BA57" s="17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9"/>
      <c r="BM57" s="180" t="str">
        <f>IFERROR(__xludf.DUMMYFUNCTION("""COMPUTED_VALUE"""),"Approval")</f>
        <v>Approval</v>
      </c>
      <c r="BN57" s="181">
        <f>IFERROR(__xludf.DUMMYFUNCTION("""COMPUTED_VALUE"""),46148.43254068287)</f>
        <v>46148.43254</v>
      </c>
      <c r="BO57" s="2"/>
      <c r="BP57" s="133"/>
      <c r="BQ57" s="133"/>
      <c r="BR57" s="133"/>
      <c r="BS57" s="25"/>
    </row>
    <row r="58" hidden="1">
      <c r="A58" s="179"/>
      <c r="B58" s="152" t="str">
        <f>IFERROR(__xludf.DUMMYFUNCTION("""COMPUTED_VALUE"""),"SharkNinja - MKT (Social Commerce)")</f>
        <v>SharkNinja - MKT (Social Commerce)</v>
      </c>
      <c r="C58" s="234" t="str">
        <f>IFERROR(__xludf.DUMMYFUNCTION("""COMPUTED_VALUE"""),"6265 PB Logistic Co., Ltd.")</f>
        <v>6265 PB Logistic Co., Ltd.</v>
      </c>
      <c r="D58" s="239"/>
      <c r="E58" s="189" t="str">
        <f>IFERROR(__xludf.DUMMYFUNCTION("""COMPUTED_VALUE"""),"Un")</f>
        <v>Un</v>
      </c>
      <c r="F58" s="156" t="str">
        <f>IFERROR(__xludf.DUMMYFUNCTION("""COMPUTED_VALUE"""),"First")</f>
        <v>First</v>
      </c>
      <c r="G58" s="157" t="str">
        <f>IFERROR(__xludf.DUMMYFUNCTION("""COMPUTED_VALUE"""),"Pompam")</f>
        <v>Pompam</v>
      </c>
      <c r="H58" s="157">
        <f>IFERROR(__xludf.DUMMYFUNCTION("""COMPUTED_VALUE"""),0.15)</f>
        <v>0.15</v>
      </c>
      <c r="I58" s="157">
        <f>IFERROR(__xludf.DUMMYFUNCTION("""COMPUTED_VALUE"""),0.0)</f>
        <v>0</v>
      </c>
      <c r="J58" s="157">
        <f>IFERROR(__xludf.DUMMYFUNCTION("""COMPUTED_VALUE"""),0.0)</f>
        <v>0</v>
      </c>
      <c r="K58" s="158">
        <f>IFERROR(__xludf.DUMMYFUNCTION("""COMPUTED_VALUE"""),0.0)</f>
        <v>0</v>
      </c>
      <c r="L58" s="159">
        <f>IFERROR(__xludf.DUMMYFUNCTION("""COMPUTED_VALUE"""),0.0)</f>
        <v>0</v>
      </c>
      <c r="M58" s="3">
        <f>IFERROR(__xludf.DUMMYFUNCTION("""COMPUTED_VALUE"""),0.0)</f>
        <v>0</v>
      </c>
      <c r="N58" s="160"/>
      <c r="O58" s="185"/>
      <c r="P58" s="171">
        <f>IFERROR(__xludf.DUMMYFUNCTION("""COMPUTED_VALUE"""),0.0)</f>
        <v>0</v>
      </c>
      <c r="Q58" s="186">
        <f>IFERROR(__xludf.DUMMYFUNCTION("""COMPUTED_VALUE"""),0.0)</f>
        <v>0</v>
      </c>
      <c r="R58" s="171">
        <f>IFERROR(__xludf.DUMMYFUNCTION("""COMPUTED_VALUE"""),0.0)</f>
        <v>0</v>
      </c>
      <c r="S58" s="171">
        <f>IFERROR(__xludf.DUMMYFUNCTION("""COMPUTED_VALUE"""),0.0)</f>
        <v>0</v>
      </c>
      <c r="T58" s="171">
        <f>IFERROR(__xludf.DUMMYFUNCTION("""COMPUTED_VALUE"""),0.0)</f>
        <v>0</v>
      </c>
      <c r="U58" s="171">
        <f>IFERROR(__xludf.DUMMYFUNCTION("""COMPUTED_VALUE"""),0.0)</f>
        <v>0</v>
      </c>
      <c r="V58" s="171">
        <f>IFERROR(__xludf.DUMMYFUNCTION("""COMPUTED_VALUE"""),0.0)</f>
        <v>0</v>
      </c>
      <c r="W58" s="164">
        <f>IFERROR(__xludf.DUMMYFUNCTION("""COMPUTED_VALUE"""),0.0)</f>
        <v>0</v>
      </c>
      <c r="X58" s="165" t="str">
        <f>IFERROR(__xludf.DUMMYFUNCTION("""COMPUTED_VALUE"""),"0")</f>
        <v>0</v>
      </c>
      <c r="Y58" s="165">
        <f>IFERROR(__xludf.DUMMYFUNCTION("""COMPUTED_VALUE"""),0.0)</f>
        <v>0</v>
      </c>
      <c r="Z58" s="165">
        <f>IFERROR(__xludf.DUMMYFUNCTION("""COMPUTED_VALUE"""),0.0)</f>
        <v>0</v>
      </c>
      <c r="AA58" s="165">
        <f>IFERROR(__xludf.DUMMYFUNCTION("""COMPUTED_VALUE"""),0.0)</f>
        <v>0</v>
      </c>
      <c r="AB58" s="165">
        <f>IFERROR(__xludf.DUMMYFUNCTION("""COMPUTED_VALUE"""),0.0)</f>
        <v>0</v>
      </c>
      <c r="AC58" s="186">
        <f>IFERROR(__xludf.DUMMYFUNCTION("""COMPUTED_VALUE"""),0.0)</f>
        <v>0</v>
      </c>
      <c r="AD58" s="167">
        <f>IFERROR(__xludf.DUMMYFUNCTION("""COMPUTED_VALUE"""),0.0)</f>
        <v>0</v>
      </c>
      <c r="AE58" s="17"/>
      <c r="AF58" s="168"/>
      <c r="AG58" s="167"/>
      <c r="AH58" s="168"/>
      <c r="AI58" s="167"/>
      <c r="AJ58" s="17"/>
      <c r="AK58" s="168"/>
      <c r="AL58" s="17"/>
      <c r="AM58" s="17"/>
      <c r="AN58" s="168"/>
      <c r="AO58" s="17"/>
      <c r="AP58" s="17"/>
      <c r="AQ58" s="168"/>
      <c r="AR58" s="17"/>
      <c r="AS58" s="17"/>
      <c r="AT58" s="17"/>
      <c r="AU58" s="17"/>
      <c r="AV58" s="17"/>
      <c r="AW58" s="17"/>
      <c r="AX58" s="17"/>
      <c r="AY58" s="17"/>
      <c r="AZ58" s="176"/>
      <c r="BA58" s="177"/>
      <c r="BB58" s="17"/>
      <c r="BC58" s="133"/>
      <c r="BD58" s="17"/>
      <c r="BE58" s="17"/>
      <c r="BF58" s="17"/>
      <c r="BG58" s="17"/>
      <c r="BH58" s="17"/>
      <c r="BI58" s="17"/>
      <c r="BJ58" s="17"/>
      <c r="BK58" s="17"/>
      <c r="BL58" s="195"/>
      <c r="BM58" s="181"/>
      <c r="BN58" s="181" t="str">
        <f>IFERROR(__xludf.DUMMYFUNCTION("""COMPUTED_VALUE"""),"")</f>
        <v/>
      </c>
      <c r="BO58" s="2"/>
      <c r="BP58" s="133"/>
      <c r="BQ58" s="133"/>
      <c r="BR58" s="133"/>
      <c r="BS58" s="25"/>
    </row>
    <row r="59" hidden="1">
      <c r="A59" s="179"/>
      <c r="B59" s="152" t="str">
        <f>IFERROR(__xludf.DUMMYFUNCTION("""COMPUTED_VALUE"""),"SharkNinja - MKT (Live ads)")</f>
        <v>SharkNinja - MKT (Live ads)</v>
      </c>
      <c r="C59" s="234" t="str">
        <f>IFERROR(__xludf.DUMMYFUNCTION("""COMPUTED_VALUE"""),"6265 PB Logistic Co., Ltd.")</f>
        <v>6265 PB Logistic Co., Ltd.</v>
      </c>
      <c r="D59" s="239"/>
      <c r="E59" s="189" t="str">
        <f>IFERROR(__xludf.DUMMYFUNCTION("""COMPUTED_VALUE"""),"Un")</f>
        <v>Un</v>
      </c>
      <c r="F59" s="156" t="str">
        <f>IFERROR(__xludf.DUMMYFUNCTION("""COMPUTED_VALUE"""),"First")</f>
        <v>First</v>
      </c>
      <c r="G59" s="157" t="str">
        <f>IFERROR(__xludf.DUMMYFUNCTION("""COMPUTED_VALUE"""),"Pompam")</f>
        <v>Pompam</v>
      </c>
      <c r="H59" s="157">
        <f>IFERROR(__xludf.DUMMYFUNCTION("""COMPUTED_VALUE"""),0.15)</f>
        <v>0.15</v>
      </c>
      <c r="I59" s="157">
        <f>IFERROR(__xludf.DUMMYFUNCTION("""COMPUTED_VALUE"""),0.0)</f>
        <v>0</v>
      </c>
      <c r="J59" s="157">
        <f>IFERROR(__xludf.DUMMYFUNCTION("""COMPUTED_VALUE"""),0.0)</f>
        <v>0</v>
      </c>
      <c r="K59" s="158">
        <f>IFERROR(__xludf.DUMMYFUNCTION("""COMPUTED_VALUE"""),0.0)</f>
        <v>0</v>
      </c>
      <c r="L59" s="159">
        <f>IFERROR(__xludf.DUMMYFUNCTION("""COMPUTED_VALUE"""),0.0)</f>
        <v>0</v>
      </c>
      <c r="M59" s="3">
        <f>IFERROR(__xludf.DUMMYFUNCTION("""COMPUTED_VALUE"""),0.0)</f>
        <v>0</v>
      </c>
      <c r="N59" s="160"/>
      <c r="O59" s="185"/>
      <c r="P59" s="171">
        <f>IFERROR(__xludf.DUMMYFUNCTION("""COMPUTED_VALUE"""),30639.2915)</f>
        <v>30639.2915</v>
      </c>
      <c r="Q59" s="186">
        <f>IFERROR(__xludf.DUMMYFUNCTION("""COMPUTED_VALUE"""),2144.7504050000002)</f>
        <v>2144.750405</v>
      </c>
      <c r="R59" s="171">
        <f>IFERROR(__xludf.DUMMYFUNCTION("""COMPUTED_VALUE"""),32784.041905)</f>
        <v>32784.04191</v>
      </c>
      <c r="S59" s="171">
        <f>IFERROR(__xludf.DUMMYFUNCTION("""COMPUTED_VALUE"""),0.0)</f>
        <v>0</v>
      </c>
      <c r="T59" s="171">
        <f>IFERROR(__xludf.DUMMYFUNCTION("""COMPUTED_VALUE"""),0.0)</f>
        <v>0</v>
      </c>
      <c r="U59" s="171">
        <f>IFERROR(__xludf.DUMMYFUNCTION("""COMPUTED_VALUE"""),0.0)</f>
        <v>0</v>
      </c>
      <c r="V59" s="171">
        <f>IFERROR(__xludf.DUMMYFUNCTION("""COMPUTED_VALUE"""),0.0)</f>
        <v>0</v>
      </c>
      <c r="W59" s="164">
        <f>IFERROR(__xludf.DUMMYFUNCTION("""COMPUTED_VALUE"""),23381.21)</f>
        <v>23381.21</v>
      </c>
      <c r="X59" s="165">
        <f>IFERROR(__xludf.DUMMYFUNCTION("""COMPUTED_VALUE"""),7258.081499999999)</f>
        <v>7258.0815</v>
      </c>
      <c r="Y59" s="165">
        <f>IFERROR(__xludf.DUMMYFUNCTION("""COMPUTED_VALUE"""),25006.0)</f>
        <v>25006</v>
      </c>
      <c r="Z59" s="165">
        <f>IFERROR(__xludf.DUMMYFUNCTION("""COMPUTED_VALUE"""),0.0)</f>
        <v>0</v>
      </c>
      <c r="AA59" s="165">
        <f>IFERROR(__xludf.DUMMYFUNCTION("""COMPUTED_VALUE"""),23381.21)</f>
        <v>23381.21</v>
      </c>
      <c r="AB59" s="165">
        <f>IFERROR(__xludf.DUMMYFUNCTION("""COMPUTED_VALUE"""),0.0)</f>
        <v>0</v>
      </c>
      <c r="AC59" s="186">
        <f>IFERROR(__xludf.DUMMYFUNCTION("""COMPUTED_VALUE"""),0.0)</f>
        <v>0</v>
      </c>
      <c r="AD59" s="167">
        <f>IFERROR(__xludf.DUMMYFUNCTION("""COMPUTED_VALUE"""),48387.21)</f>
        <v>48387.21</v>
      </c>
      <c r="AE59" s="17"/>
      <c r="AF59" s="168"/>
      <c r="AG59" s="167"/>
      <c r="AH59" s="168"/>
      <c r="AI59" s="167"/>
      <c r="AJ59" s="17"/>
      <c r="AK59" s="168"/>
      <c r="AL59" s="17"/>
      <c r="AM59" s="171"/>
      <c r="AN59" s="168">
        <f>IFERROR(__xludf.DUMMYFUNCTION("""COMPUTED_VALUE"""),23381.21)</f>
        <v>23381.21</v>
      </c>
      <c r="AO59" s="17"/>
      <c r="AP59" s="17"/>
      <c r="AQ59" s="168"/>
      <c r="AR59" s="17"/>
      <c r="AS59" s="17"/>
      <c r="AT59" s="178"/>
      <c r="AU59" s="17">
        <f>IFERROR(__xludf.DUMMYFUNCTION("""COMPUTED_VALUE"""),25006.0)</f>
        <v>25006</v>
      </c>
      <c r="AV59" s="17"/>
      <c r="AW59" s="17"/>
      <c r="AX59" s="17"/>
      <c r="AY59" s="17"/>
      <c r="AZ59" s="176"/>
      <c r="BA59" s="177"/>
      <c r="BB59" s="17"/>
      <c r="BC59" s="17"/>
      <c r="BD59" s="17"/>
      <c r="BE59" s="17"/>
      <c r="BF59" s="173"/>
      <c r="BG59" s="17">
        <f>IFERROR(__xludf.DUMMYFUNCTION("""COMPUTED_VALUE"""),23381.21)</f>
        <v>23381.21</v>
      </c>
      <c r="BH59" s="17"/>
      <c r="BI59" s="17"/>
      <c r="BJ59" s="17"/>
      <c r="BK59" s="17"/>
      <c r="BL59" s="179"/>
      <c r="BM59" s="180" t="str">
        <f>IFERROR(__xludf.DUMMYFUNCTION("""COMPUTED_VALUE"""),"Approval")</f>
        <v>Approval</v>
      </c>
      <c r="BN59" s="181">
        <f>IFERROR(__xludf.DUMMYFUNCTION("""COMPUTED_VALUE"""),46148.43256180556)</f>
        <v>46148.43256</v>
      </c>
      <c r="BO59" s="2"/>
      <c r="BP59" s="133"/>
      <c r="BQ59" s="133"/>
      <c r="BR59" s="133"/>
      <c r="BS59" s="25"/>
    </row>
    <row r="60" hidden="1">
      <c r="A60" s="151" t="str">
        <f>IFERROR(__xludf.DUMMYFUNCTION("""COMPUTED_VALUE"""),"April'26")</f>
        <v>April'26</v>
      </c>
      <c r="B60" s="152" t="str">
        <f>IFERROR(__xludf.DUMMYFUNCTION("""COMPUTED_VALUE"""),"CMG - Garmin")</f>
        <v>CMG - Garmin</v>
      </c>
      <c r="C60" s="234" t="str">
        <f>IFERROR(__xludf.DUMMYFUNCTION("""COMPUTED_VALUE"""),"6231: PRO -2 Central Trading Co., Ltd. : Garmin")</f>
        <v>6231: PRO -2 Central Trading Co., Ltd. : Garmin</v>
      </c>
      <c r="D60" s="239"/>
      <c r="E60" s="310" t="str">
        <f>IFERROR(__xludf.DUMMYFUNCTION("""COMPUTED_VALUE"""),"Roger")</f>
        <v>Roger</v>
      </c>
      <c r="F60" s="156"/>
      <c r="G60" s="157" t="str">
        <f>IFERROR(__xludf.DUMMYFUNCTION("""COMPUTED_VALUE"""),"Pompam")</f>
        <v>Pompam</v>
      </c>
      <c r="H60" s="157">
        <f>IFERROR(__xludf.DUMMYFUNCTION("""COMPUTED_VALUE"""),0.15)</f>
        <v>0.15</v>
      </c>
      <c r="I60" s="157">
        <f>IFERROR(__xludf.DUMMYFUNCTION("""COMPUTED_VALUE"""),0.0)</f>
        <v>0</v>
      </c>
      <c r="J60" s="157">
        <f>IFERROR(__xludf.DUMMYFUNCTION("""COMPUTED_VALUE"""),0.0)</f>
        <v>0</v>
      </c>
      <c r="K60" s="158">
        <f>IFERROR(__xludf.DUMMYFUNCTION("""COMPUTED_VALUE"""),0.0)</f>
        <v>0</v>
      </c>
      <c r="L60" s="159">
        <f>IFERROR(__xludf.DUMMYFUNCTION("""COMPUTED_VALUE"""),0.0)</f>
        <v>0</v>
      </c>
      <c r="M60" s="3">
        <f>IFERROR(__xludf.DUMMYFUNCTION("""COMPUTED_VALUE"""),0.0)</f>
        <v>0</v>
      </c>
      <c r="N60" s="160"/>
      <c r="O60" s="185"/>
      <c r="P60" s="171">
        <f>IFERROR(__xludf.DUMMYFUNCTION("""COMPUTED_VALUE"""),111092.3345)</f>
        <v>111092.3345</v>
      </c>
      <c r="Q60" s="186">
        <f>IFERROR(__xludf.DUMMYFUNCTION("""COMPUTED_VALUE"""),7776.463415)</f>
        <v>7776.463415</v>
      </c>
      <c r="R60" s="171">
        <f>IFERROR(__xludf.DUMMYFUNCTION("""COMPUTED_VALUE"""),118868.797915)</f>
        <v>118868.7979</v>
      </c>
      <c r="S60" s="171">
        <f>IFERROR(__xludf.DUMMYFUNCTION("""COMPUTED_VALUE"""),0.0)</f>
        <v>0</v>
      </c>
      <c r="T60" s="171">
        <f>IFERROR(__xludf.DUMMYFUNCTION("""COMPUTED_VALUE"""),0.0)</f>
        <v>0</v>
      </c>
      <c r="U60" s="171">
        <f>IFERROR(__xludf.DUMMYFUNCTION("""COMPUTED_VALUE"""),0.0)</f>
        <v>0</v>
      </c>
      <c r="V60" s="171">
        <f>IFERROR(__xludf.DUMMYFUNCTION("""COMPUTED_VALUE"""),0.0)</f>
        <v>0</v>
      </c>
      <c r="W60" s="164">
        <f>IFERROR(__xludf.DUMMYFUNCTION("""COMPUTED_VALUE"""),96602.03)</f>
        <v>96602.03</v>
      </c>
      <c r="X60" s="165">
        <f>IFERROR(__xludf.DUMMYFUNCTION("""COMPUTED_VALUE"""),14490.3045)</f>
        <v>14490.3045</v>
      </c>
      <c r="Y60" s="165">
        <f>IFERROR(__xludf.DUMMYFUNCTION("""COMPUTED_VALUE"""),0.0)</f>
        <v>0</v>
      </c>
      <c r="Z60" s="165">
        <f>IFERROR(__xludf.DUMMYFUNCTION("""COMPUTED_VALUE"""),0.0)</f>
        <v>0</v>
      </c>
      <c r="AA60" s="165">
        <f>IFERROR(__xludf.DUMMYFUNCTION("""COMPUTED_VALUE"""),59481.36)</f>
        <v>59481.36</v>
      </c>
      <c r="AB60" s="165">
        <f>IFERROR(__xludf.DUMMYFUNCTION("""COMPUTED_VALUE"""),37120.67)</f>
        <v>37120.67</v>
      </c>
      <c r="AC60" s="186">
        <f>IFERROR(__xludf.DUMMYFUNCTION("""COMPUTED_VALUE"""),0.0)</f>
        <v>0</v>
      </c>
      <c r="AD60" s="167">
        <f>IFERROR(__xludf.DUMMYFUNCTION("""COMPUTED_VALUE"""),96602.03)</f>
        <v>96602.03</v>
      </c>
      <c r="AE60" s="17"/>
      <c r="AF60" s="168"/>
      <c r="AG60" s="167"/>
      <c r="AH60" s="168"/>
      <c r="AI60" s="167"/>
      <c r="AJ60" s="17"/>
      <c r="AK60" s="168"/>
      <c r="AL60" s="185"/>
      <c r="AM60" s="171">
        <f>IFERROR(__xludf.DUMMYFUNCTION("""COMPUTED_VALUE"""),37120.67)</f>
        <v>37120.67</v>
      </c>
      <c r="AN60" s="168">
        <f>IFERROR(__xludf.DUMMYFUNCTION("""COMPUTED_VALUE"""),59481.36)</f>
        <v>59481.36</v>
      </c>
      <c r="AO60" s="17"/>
      <c r="AP60" s="17"/>
      <c r="AQ60" s="168"/>
      <c r="AR60" s="17"/>
      <c r="AS60" s="17"/>
      <c r="AT60" s="17"/>
      <c r="AU60" s="17"/>
      <c r="AV60" s="17"/>
      <c r="AW60" s="17"/>
      <c r="AX60" s="17"/>
      <c r="AY60" s="17"/>
      <c r="AZ60" s="17"/>
      <c r="BA60" s="311"/>
      <c r="BB60" s="173">
        <f>IFERROR(__xludf.DUMMYFUNCTION("""COMPUTED_VALUE"""),14549.01)</f>
        <v>14549.01</v>
      </c>
      <c r="BC60" s="17">
        <f>IFERROR(__xludf.DUMMYFUNCTION("""COMPUTED_VALUE"""),22571.66)</f>
        <v>22571.66</v>
      </c>
      <c r="BD60" s="17"/>
      <c r="BE60" s="17"/>
      <c r="BF60" s="173"/>
      <c r="BG60" s="17">
        <f>IFERROR(__xludf.DUMMYFUNCTION("""COMPUTED_VALUE"""),59481.36)</f>
        <v>59481.36</v>
      </c>
      <c r="BH60" s="17"/>
      <c r="BI60" s="17"/>
      <c r="BJ60" s="17"/>
      <c r="BK60" s="17"/>
      <c r="BL60" s="179"/>
      <c r="BM60" s="180" t="str">
        <f>IFERROR(__xludf.DUMMYFUNCTION("""COMPUTED_VALUE"""),"Approval")</f>
        <v>Approval</v>
      </c>
      <c r="BN60" s="181">
        <f>IFERROR(__xludf.DUMMYFUNCTION("""COMPUTED_VALUE"""),46148.39085976852)</f>
        <v>46148.39086</v>
      </c>
      <c r="BO60" s="2"/>
      <c r="BP60" s="133"/>
      <c r="BQ60" s="133"/>
      <c r="BR60" s="133"/>
      <c r="BS60" s="25"/>
    </row>
    <row r="61" hidden="1">
      <c r="A61" s="151" t="str">
        <f>IFERROR(__xludf.DUMMYFUNCTION("""COMPUTED_VALUE"""),"April'26")</f>
        <v>April'26</v>
      </c>
      <c r="B61" s="152" t="str">
        <f>IFERROR(__xludf.DUMMYFUNCTION("""COMPUTED_VALUE"""),"Sulwhasoo - Paid Advance")</f>
        <v>Sulwhasoo - Paid Advance</v>
      </c>
      <c r="C61" s="234" t="str">
        <f>IFERROR(__xludf.DUMMYFUNCTION("""COMPUTED_VALUE"""),"6353 Amorepacific (Thailand) Limited")</f>
        <v>6353 Amorepacific (Thailand) Limited</v>
      </c>
      <c r="D61" s="315"/>
      <c r="E61" s="316" t="str">
        <f>IFERROR(__xludf.DUMMYFUNCTION("""COMPUTED_VALUE"""),"Bam")</f>
        <v>Bam</v>
      </c>
      <c r="F61" s="317" t="str">
        <f>IFERROR(__xludf.DUMMYFUNCTION("""COMPUTED_VALUE"""),"Mangpor")</f>
        <v>Mangpor</v>
      </c>
      <c r="G61" s="318" t="str">
        <f>IFERROR(__xludf.DUMMYFUNCTION("""COMPUTED_VALUE"""),"Pompam")</f>
        <v>Pompam</v>
      </c>
      <c r="H61" s="318">
        <f>IFERROR(__xludf.DUMMYFUNCTION("""COMPUTED_VALUE"""),0.0)</f>
        <v>0</v>
      </c>
      <c r="I61" s="318">
        <f>IFERROR(__xludf.DUMMYFUNCTION("""COMPUTED_VALUE"""),0.0)</f>
        <v>0</v>
      </c>
      <c r="J61" s="318">
        <f>IFERROR(__xludf.DUMMYFUNCTION("""COMPUTED_VALUE"""),0.0)</f>
        <v>0</v>
      </c>
      <c r="K61" s="319">
        <f>IFERROR(__xludf.DUMMYFUNCTION("""COMPUTED_VALUE"""),0.0)</f>
        <v>0</v>
      </c>
      <c r="L61" s="320">
        <f>IFERROR(__xludf.DUMMYFUNCTION("""COMPUTED_VALUE"""),0.0)</f>
        <v>0</v>
      </c>
      <c r="M61" s="3">
        <f>IFERROR(__xludf.DUMMYFUNCTION("""COMPUTED_VALUE"""),0.0)</f>
        <v>0</v>
      </c>
      <c r="N61" s="160"/>
      <c r="O61" s="321"/>
      <c r="P61" s="322">
        <f>IFERROR(__xludf.DUMMYFUNCTION("""COMPUTED_VALUE"""),55270.62)</f>
        <v>55270.62</v>
      </c>
      <c r="Q61" s="323">
        <f>IFERROR(__xludf.DUMMYFUNCTION("""COMPUTED_VALUE"""),3868.9434000000006)</f>
        <v>3868.9434</v>
      </c>
      <c r="R61" s="322">
        <f>IFERROR(__xludf.DUMMYFUNCTION("""COMPUTED_VALUE"""),59139.56340000001)</f>
        <v>59139.5634</v>
      </c>
      <c r="S61" s="322">
        <f>IFERROR(__xludf.DUMMYFUNCTION("""COMPUTED_VALUE"""),0.0)</f>
        <v>0</v>
      </c>
      <c r="T61" s="322">
        <f>IFERROR(__xludf.DUMMYFUNCTION("""COMPUTED_VALUE"""),0.0)</f>
        <v>0</v>
      </c>
      <c r="U61" s="322">
        <f>IFERROR(__xludf.DUMMYFUNCTION("""COMPUTED_VALUE"""),0.0)</f>
        <v>0</v>
      </c>
      <c r="V61" s="322">
        <f>IFERROR(__xludf.DUMMYFUNCTION("""COMPUTED_VALUE"""),0.0)</f>
        <v>0</v>
      </c>
      <c r="W61" s="165">
        <f>IFERROR(__xludf.DUMMYFUNCTION("""COMPUTED_VALUE"""),55270.62)</f>
        <v>55270.62</v>
      </c>
      <c r="X61" s="165">
        <f>IFERROR(__xludf.DUMMYFUNCTION("""COMPUTED_VALUE"""),0.0)</f>
        <v>0</v>
      </c>
      <c r="Y61" s="165">
        <f>IFERROR(__xludf.DUMMYFUNCTION("""COMPUTED_VALUE"""),0.0)</f>
        <v>0</v>
      </c>
      <c r="Z61" s="165">
        <f>IFERROR(__xludf.DUMMYFUNCTION("""COMPUTED_VALUE"""),0.0)</f>
        <v>0</v>
      </c>
      <c r="AA61" s="165">
        <f>IFERROR(__xludf.DUMMYFUNCTION("""COMPUTED_VALUE"""),55270.62)</f>
        <v>55270.62</v>
      </c>
      <c r="AB61" s="165">
        <f>IFERROR(__xludf.DUMMYFUNCTION("""COMPUTED_VALUE"""),0.0)</f>
        <v>0</v>
      </c>
      <c r="AC61" s="323">
        <f>IFERROR(__xludf.DUMMYFUNCTION("""COMPUTED_VALUE"""),0.0)</f>
        <v>0</v>
      </c>
      <c r="AD61" s="167">
        <f>IFERROR(__xludf.DUMMYFUNCTION("""COMPUTED_VALUE"""),55270.62)</f>
        <v>55270.62</v>
      </c>
      <c r="AE61" s="17"/>
      <c r="AF61" s="168"/>
      <c r="AG61" s="167"/>
      <c r="AH61" s="168"/>
      <c r="AI61" s="167"/>
      <c r="AJ61" s="17"/>
      <c r="AK61" s="168"/>
      <c r="AL61" s="185"/>
      <c r="AM61" s="171">
        <f>IFERROR(__xludf.DUMMYFUNCTION("""COMPUTED_VALUE"""),0.0)</f>
        <v>0</v>
      </c>
      <c r="AN61" s="168">
        <f>IFERROR(__xludf.DUMMYFUNCTION("""COMPUTED_VALUE"""),55270.62)</f>
        <v>55270.62</v>
      </c>
      <c r="AO61" s="17"/>
      <c r="AP61" s="17"/>
      <c r="AQ61" s="168"/>
      <c r="AR61" s="17"/>
      <c r="AS61" s="17"/>
      <c r="AT61" s="17"/>
      <c r="AU61" s="17"/>
      <c r="AV61" s="17"/>
      <c r="AW61" s="17"/>
      <c r="AX61" s="17"/>
      <c r="AY61" s="17"/>
      <c r="AZ61" s="176"/>
      <c r="BA61" s="177"/>
      <c r="BB61" s="17"/>
      <c r="BC61" s="17"/>
      <c r="BD61" s="17"/>
      <c r="BE61" s="17"/>
      <c r="BF61" s="173"/>
      <c r="BG61" s="17">
        <f>IFERROR(__xludf.DUMMYFUNCTION("""COMPUTED_VALUE"""),55270.62)</f>
        <v>55270.62</v>
      </c>
      <c r="BH61" s="17"/>
      <c r="BI61" s="17"/>
      <c r="BJ61" s="17"/>
      <c r="BK61" s="17"/>
      <c r="BL61" s="179"/>
      <c r="BM61" s="180" t="str">
        <f>IFERROR(__xludf.DUMMYFUNCTION("""COMPUTED_VALUE"""),"Approval")</f>
        <v>Approval</v>
      </c>
      <c r="BN61" s="181">
        <f>IFERROR(__xludf.DUMMYFUNCTION("""COMPUTED_VALUE"""),46147.65812341435)</f>
        <v>46147.65812</v>
      </c>
      <c r="BO61" s="2"/>
      <c r="BP61" s="133"/>
      <c r="BQ61" s="133"/>
      <c r="BR61" s="133"/>
      <c r="BS61" s="25"/>
    </row>
    <row r="62" hidden="1">
      <c r="A62" s="151" t="str">
        <f>IFERROR(__xludf.DUMMYFUNCTION("""COMPUTED_VALUE"""),"April'26")</f>
        <v>April'26</v>
      </c>
      <c r="B62" s="152" t="str">
        <f>IFERROR(__xludf.DUMMYFUNCTION("""COMPUTED_VALUE"""),"Laneige - Paid Advance")</f>
        <v>Laneige - Paid Advance</v>
      </c>
      <c r="C62" s="234" t="str">
        <f>IFERROR(__xludf.DUMMYFUNCTION("""COMPUTED_VALUE"""),"6353 Amorepacific (Thailand) Limited")</f>
        <v>6353 Amorepacific (Thailand) Limited</v>
      </c>
      <c r="D62" s="315"/>
      <c r="E62" s="316" t="str">
        <f>IFERROR(__xludf.DUMMYFUNCTION("""COMPUTED_VALUE"""),"Bam")</f>
        <v>Bam</v>
      </c>
      <c r="F62" s="317" t="str">
        <f>IFERROR(__xludf.DUMMYFUNCTION("""COMPUTED_VALUE"""),"Mangpor")</f>
        <v>Mangpor</v>
      </c>
      <c r="G62" s="318" t="str">
        <f>IFERROR(__xludf.DUMMYFUNCTION("""COMPUTED_VALUE"""),"Pompam")</f>
        <v>Pompam</v>
      </c>
      <c r="H62" s="318">
        <f>IFERROR(__xludf.DUMMYFUNCTION("""COMPUTED_VALUE"""),0.0)</f>
        <v>0</v>
      </c>
      <c r="I62" s="318">
        <f>IFERROR(__xludf.DUMMYFUNCTION("""COMPUTED_VALUE"""),0.0)</f>
        <v>0</v>
      </c>
      <c r="J62" s="318">
        <f>IFERROR(__xludf.DUMMYFUNCTION("""COMPUTED_VALUE"""),0.0)</f>
        <v>0</v>
      </c>
      <c r="K62" s="319">
        <f>IFERROR(__xludf.DUMMYFUNCTION("""COMPUTED_VALUE"""),0.0)</f>
        <v>0</v>
      </c>
      <c r="L62" s="320">
        <f>IFERROR(__xludf.DUMMYFUNCTION("""COMPUTED_VALUE"""),0.0)</f>
        <v>0</v>
      </c>
      <c r="M62" s="3">
        <f>IFERROR(__xludf.DUMMYFUNCTION("""COMPUTED_VALUE"""),0.0)</f>
        <v>0</v>
      </c>
      <c r="N62" s="160"/>
      <c r="O62" s="321"/>
      <c r="P62" s="322">
        <f>IFERROR(__xludf.DUMMYFUNCTION("""COMPUTED_VALUE"""),148356.52)</f>
        <v>148356.52</v>
      </c>
      <c r="Q62" s="323">
        <f>IFERROR(__xludf.DUMMYFUNCTION("""COMPUTED_VALUE"""),10384.956400000001)</f>
        <v>10384.9564</v>
      </c>
      <c r="R62" s="322">
        <f>IFERROR(__xludf.DUMMYFUNCTION("""COMPUTED_VALUE"""),158741.47639999999)</f>
        <v>158741.4764</v>
      </c>
      <c r="S62" s="322">
        <f>IFERROR(__xludf.DUMMYFUNCTION("""COMPUTED_VALUE"""),0.0)</f>
        <v>0</v>
      </c>
      <c r="T62" s="322">
        <f>IFERROR(__xludf.DUMMYFUNCTION("""COMPUTED_VALUE"""),0.0)</f>
        <v>0</v>
      </c>
      <c r="U62" s="322">
        <f>IFERROR(__xludf.DUMMYFUNCTION("""COMPUTED_VALUE"""),0.0)</f>
        <v>0</v>
      </c>
      <c r="V62" s="322">
        <f>IFERROR(__xludf.DUMMYFUNCTION("""COMPUTED_VALUE"""),0.0)</f>
        <v>0</v>
      </c>
      <c r="W62" s="165">
        <f>IFERROR(__xludf.DUMMYFUNCTION("""COMPUTED_VALUE"""),148356.52)</f>
        <v>148356.52</v>
      </c>
      <c r="X62" s="165">
        <f>IFERROR(__xludf.DUMMYFUNCTION("""COMPUTED_VALUE"""),0.0)</f>
        <v>0</v>
      </c>
      <c r="Y62" s="165">
        <f>IFERROR(__xludf.DUMMYFUNCTION("""COMPUTED_VALUE"""),0.0)</f>
        <v>0</v>
      </c>
      <c r="Z62" s="165">
        <f>IFERROR(__xludf.DUMMYFUNCTION("""COMPUTED_VALUE"""),0.0)</f>
        <v>0</v>
      </c>
      <c r="AA62" s="165">
        <f>IFERROR(__xludf.DUMMYFUNCTION("""COMPUTED_VALUE"""),158825.93)</f>
        <v>158825.93</v>
      </c>
      <c r="AB62" s="165">
        <f>IFERROR(__xludf.DUMMYFUNCTION("""COMPUTED_VALUE"""),0.0)</f>
        <v>0</v>
      </c>
      <c r="AC62" s="323">
        <f>IFERROR(__xludf.DUMMYFUNCTION("""COMPUTED_VALUE"""),0.0)</f>
        <v>0</v>
      </c>
      <c r="AD62" s="167">
        <f>IFERROR(__xludf.DUMMYFUNCTION("""COMPUTED_VALUE"""),158825.93)</f>
        <v>158825.93</v>
      </c>
      <c r="AE62" s="17"/>
      <c r="AF62" s="168"/>
      <c r="AG62" s="167"/>
      <c r="AH62" s="168"/>
      <c r="AI62" s="167"/>
      <c r="AJ62" s="17"/>
      <c r="AK62" s="168"/>
      <c r="AL62" s="185"/>
      <c r="AM62" s="171">
        <f>IFERROR(__xludf.DUMMYFUNCTION("""COMPUTED_VALUE"""),0.0)</f>
        <v>0</v>
      </c>
      <c r="AN62" s="168">
        <f>IFERROR(__xludf.DUMMYFUNCTION("""COMPUTED_VALUE"""),148356.52)</f>
        <v>148356.52</v>
      </c>
      <c r="AO62" s="17"/>
      <c r="AP62" s="17"/>
      <c r="AQ62" s="168"/>
      <c r="AR62" s="17"/>
      <c r="AS62" s="17"/>
      <c r="AT62" s="17"/>
      <c r="AU62" s="17"/>
      <c r="AV62" s="17"/>
      <c r="AW62" s="17"/>
      <c r="AX62" s="17"/>
      <c r="AY62" s="17"/>
      <c r="AZ62" s="176"/>
      <c r="BA62" s="177"/>
      <c r="BB62" s="17"/>
      <c r="BC62" s="17"/>
      <c r="BD62" s="17"/>
      <c r="BE62" s="17"/>
      <c r="BF62" s="173"/>
      <c r="BG62" s="17">
        <f>IFERROR(__xludf.DUMMYFUNCTION("""COMPUTED_VALUE"""),148356.52)</f>
        <v>148356.52</v>
      </c>
      <c r="BH62" s="173"/>
      <c r="BI62" s="17">
        <f>IFERROR(__xludf.DUMMYFUNCTION("""COMPUTED_VALUE"""),10469.41)</f>
        <v>10469.41</v>
      </c>
      <c r="BJ62" s="17"/>
      <c r="BK62" s="17"/>
      <c r="BL62" s="151"/>
      <c r="BM62" s="180" t="str">
        <f>IFERROR(__xludf.DUMMYFUNCTION("""COMPUTED_VALUE"""),"Approval")</f>
        <v>Approval</v>
      </c>
      <c r="BN62" s="181">
        <f>IFERROR(__xludf.DUMMYFUNCTION("""COMPUTED_VALUE"""),46147.65812341435)</f>
        <v>46147.65812</v>
      </c>
      <c r="BO62" s="2"/>
      <c r="BP62" s="133"/>
      <c r="BQ62" s="133"/>
      <c r="BR62" s="133"/>
      <c r="BS62" s="25"/>
    </row>
    <row r="63" hidden="1">
      <c r="A63" s="151" t="str">
        <f>IFERROR(__xludf.DUMMYFUNCTION("""COMPUTED_VALUE"""),"April'26")</f>
        <v>April'26</v>
      </c>
      <c r="B63" s="152" t="str">
        <f>IFERROR(__xludf.DUMMYFUNCTION("""COMPUTED_VALUE"""),"Hera - Paid Advance")</f>
        <v>Hera - Paid Advance</v>
      </c>
      <c r="C63" s="234" t="str">
        <f>IFERROR(__xludf.DUMMYFUNCTION("""COMPUTED_VALUE"""),"6353 Amorepacific (Thailand) Limited")</f>
        <v>6353 Amorepacific (Thailand) Limited</v>
      </c>
      <c r="D63" s="315"/>
      <c r="E63" s="316" t="str">
        <f>IFERROR(__xludf.DUMMYFUNCTION("""COMPUTED_VALUE"""),"Bam")</f>
        <v>Bam</v>
      </c>
      <c r="F63" s="317" t="str">
        <f>IFERROR(__xludf.DUMMYFUNCTION("""COMPUTED_VALUE"""),"Mangpor")</f>
        <v>Mangpor</v>
      </c>
      <c r="G63" s="318" t="str">
        <f>IFERROR(__xludf.DUMMYFUNCTION("""COMPUTED_VALUE"""),"Pompam")</f>
        <v>Pompam</v>
      </c>
      <c r="H63" s="318">
        <f>IFERROR(__xludf.DUMMYFUNCTION("""COMPUTED_VALUE"""),0.0)</f>
        <v>0</v>
      </c>
      <c r="I63" s="318">
        <f>IFERROR(__xludf.DUMMYFUNCTION("""COMPUTED_VALUE"""),0.0)</f>
        <v>0</v>
      </c>
      <c r="J63" s="318">
        <f>IFERROR(__xludf.DUMMYFUNCTION("""COMPUTED_VALUE"""),0.0)</f>
        <v>0</v>
      </c>
      <c r="K63" s="319">
        <f>IFERROR(__xludf.DUMMYFUNCTION("""COMPUTED_VALUE"""),0.0)</f>
        <v>0</v>
      </c>
      <c r="L63" s="320">
        <f>IFERROR(__xludf.DUMMYFUNCTION("""COMPUTED_VALUE"""),0.0)</f>
        <v>0</v>
      </c>
      <c r="M63" s="3">
        <f>IFERROR(__xludf.DUMMYFUNCTION("""COMPUTED_VALUE"""),0.0)</f>
        <v>0</v>
      </c>
      <c r="N63" s="160"/>
      <c r="O63" s="321"/>
      <c r="P63" s="322">
        <f>IFERROR(__xludf.DUMMYFUNCTION("""COMPUTED_VALUE"""),17935.57)</f>
        <v>17935.57</v>
      </c>
      <c r="Q63" s="323">
        <f>IFERROR(__xludf.DUMMYFUNCTION("""COMPUTED_VALUE"""),1255.4899)</f>
        <v>1255.4899</v>
      </c>
      <c r="R63" s="322">
        <f>IFERROR(__xludf.DUMMYFUNCTION("""COMPUTED_VALUE"""),19191.0599)</f>
        <v>19191.0599</v>
      </c>
      <c r="S63" s="322">
        <f>IFERROR(__xludf.DUMMYFUNCTION("""COMPUTED_VALUE"""),0.0)</f>
        <v>0</v>
      </c>
      <c r="T63" s="322">
        <f>IFERROR(__xludf.DUMMYFUNCTION("""COMPUTED_VALUE"""),0.0)</f>
        <v>0</v>
      </c>
      <c r="U63" s="322">
        <f>IFERROR(__xludf.DUMMYFUNCTION("""COMPUTED_VALUE"""),0.0)</f>
        <v>0</v>
      </c>
      <c r="V63" s="322">
        <f>IFERROR(__xludf.DUMMYFUNCTION("""COMPUTED_VALUE"""),0.0)</f>
        <v>0</v>
      </c>
      <c r="W63" s="165">
        <f>IFERROR(__xludf.DUMMYFUNCTION("""COMPUTED_VALUE"""),17935.57)</f>
        <v>17935.57</v>
      </c>
      <c r="X63" s="165">
        <f>IFERROR(__xludf.DUMMYFUNCTION("""COMPUTED_VALUE"""),0.0)</f>
        <v>0</v>
      </c>
      <c r="Y63" s="165">
        <f>IFERROR(__xludf.DUMMYFUNCTION("""COMPUTED_VALUE"""),32857.19)</f>
        <v>32857.19</v>
      </c>
      <c r="Z63" s="165">
        <f>IFERROR(__xludf.DUMMYFUNCTION("""COMPUTED_VALUE"""),29629.58)</f>
        <v>29629.58</v>
      </c>
      <c r="AA63" s="165">
        <f>IFERROR(__xludf.DUMMYFUNCTION("""COMPUTED_VALUE"""),17935.57)</f>
        <v>17935.57</v>
      </c>
      <c r="AB63" s="165">
        <f>IFERROR(__xludf.DUMMYFUNCTION("""COMPUTED_VALUE"""),0.0)</f>
        <v>0</v>
      </c>
      <c r="AC63" s="323">
        <f>IFERROR(__xludf.DUMMYFUNCTION("""COMPUTED_VALUE"""),0.0)</f>
        <v>0</v>
      </c>
      <c r="AD63" s="167">
        <f>IFERROR(__xludf.DUMMYFUNCTION("""COMPUTED_VALUE"""),80422.34)</f>
        <v>80422.34</v>
      </c>
      <c r="AE63" s="17"/>
      <c r="AF63" s="168"/>
      <c r="AG63" s="167"/>
      <c r="AH63" s="168"/>
      <c r="AI63" s="167"/>
      <c r="AJ63" s="17"/>
      <c r="AK63" s="168"/>
      <c r="AL63" s="185"/>
      <c r="AM63" s="171">
        <f>IFERROR(__xludf.DUMMYFUNCTION("""COMPUTED_VALUE"""),0.0)</f>
        <v>0</v>
      </c>
      <c r="AN63" s="168">
        <f>IFERROR(__xludf.DUMMYFUNCTION("""COMPUTED_VALUE"""),17935.57)</f>
        <v>17935.57</v>
      </c>
      <c r="AO63" s="17"/>
      <c r="AP63" s="17"/>
      <c r="AQ63" s="168"/>
      <c r="AR63" s="17"/>
      <c r="AS63" s="173"/>
      <c r="AT63" s="173">
        <f>IFERROR(__xludf.DUMMYFUNCTION("""COMPUTED_VALUE"""),30259.46)</f>
        <v>30259.46</v>
      </c>
      <c r="AU63" s="17">
        <f>IFERROR(__xludf.DUMMYFUNCTION("""COMPUTED_VALUE"""),2597.73)</f>
        <v>2597.73</v>
      </c>
      <c r="AV63" s="173"/>
      <c r="AW63" s="17">
        <f>IFERROR(__xludf.DUMMYFUNCTION("""COMPUTED_VALUE"""),29629.58)</f>
        <v>29629.58</v>
      </c>
      <c r="AX63" s="17"/>
      <c r="AY63" s="17"/>
      <c r="AZ63" s="176"/>
      <c r="BA63" s="177"/>
      <c r="BB63" s="17"/>
      <c r="BC63" s="17"/>
      <c r="BD63" s="17"/>
      <c r="BE63" s="17"/>
      <c r="BF63" s="173"/>
      <c r="BG63" s="17">
        <f>IFERROR(__xludf.DUMMYFUNCTION("""COMPUTED_VALUE"""),17935.57)</f>
        <v>17935.57</v>
      </c>
      <c r="BH63" s="17"/>
      <c r="BI63" s="17"/>
      <c r="BJ63" s="17"/>
      <c r="BK63" s="17"/>
      <c r="BL63" s="179"/>
      <c r="BM63" s="180" t="str">
        <f>IFERROR(__xludf.DUMMYFUNCTION("""COMPUTED_VALUE"""),"Approval")</f>
        <v>Approval</v>
      </c>
      <c r="BN63" s="181">
        <f>IFERROR(__xludf.DUMMYFUNCTION("""COMPUTED_VALUE"""),46147.65812341435)</f>
        <v>46147.65812</v>
      </c>
      <c r="BO63" s="2"/>
      <c r="BP63" s="133"/>
      <c r="BQ63" s="133"/>
      <c r="BR63" s="133"/>
      <c r="BS63" s="25"/>
    </row>
    <row r="64" hidden="1">
      <c r="A64" s="151" t="str">
        <f>IFERROR(__xludf.DUMMYFUNCTION("""COMPUTED_VALUE"""),"April'26")</f>
        <v>April'26</v>
      </c>
      <c r="B64" s="152" t="str">
        <f>IFERROR(__xludf.DUMMYFUNCTION("""COMPUTED_VALUE"""),"Aestura - Paid Advance")</f>
        <v>Aestura - Paid Advance</v>
      </c>
      <c r="C64" s="234" t="str">
        <f>IFERROR(__xludf.DUMMYFUNCTION("""COMPUTED_VALUE"""),"6353 Amorepacific (Thailand) Limited")</f>
        <v>6353 Amorepacific (Thailand) Limited</v>
      </c>
      <c r="D64" s="315"/>
      <c r="E64" s="316" t="str">
        <f>IFERROR(__xludf.DUMMYFUNCTION("""COMPUTED_VALUE"""),"Bam")</f>
        <v>Bam</v>
      </c>
      <c r="F64" s="317" t="str">
        <f>IFERROR(__xludf.DUMMYFUNCTION("""COMPUTED_VALUE"""),"Mangpor")</f>
        <v>Mangpor</v>
      </c>
      <c r="G64" s="318" t="str">
        <f>IFERROR(__xludf.DUMMYFUNCTION("""COMPUTED_VALUE"""),"Pompam")</f>
        <v>Pompam</v>
      </c>
      <c r="H64" s="318">
        <f>IFERROR(__xludf.DUMMYFUNCTION("""COMPUTED_VALUE"""),0.0)</f>
        <v>0</v>
      </c>
      <c r="I64" s="318">
        <f>IFERROR(__xludf.DUMMYFUNCTION("""COMPUTED_VALUE"""),0.0)</f>
        <v>0</v>
      </c>
      <c r="J64" s="318">
        <f>IFERROR(__xludf.DUMMYFUNCTION("""COMPUTED_VALUE"""),0.0)</f>
        <v>0</v>
      </c>
      <c r="K64" s="319">
        <f>IFERROR(__xludf.DUMMYFUNCTION("""COMPUTED_VALUE"""),0.0)</f>
        <v>0</v>
      </c>
      <c r="L64" s="320">
        <f>IFERROR(__xludf.DUMMYFUNCTION("""COMPUTED_VALUE"""),0.0)</f>
        <v>0</v>
      </c>
      <c r="M64" s="3">
        <f>IFERROR(__xludf.DUMMYFUNCTION("""COMPUTED_VALUE"""),0.0)</f>
        <v>0</v>
      </c>
      <c r="N64" s="160"/>
      <c r="O64" s="321"/>
      <c r="P64" s="322">
        <f>IFERROR(__xludf.DUMMYFUNCTION("""COMPUTED_VALUE"""),39745.54)</f>
        <v>39745.54</v>
      </c>
      <c r="Q64" s="323">
        <f>IFERROR(__xludf.DUMMYFUNCTION("""COMPUTED_VALUE"""),2782.1878)</f>
        <v>2782.1878</v>
      </c>
      <c r="R64" s="322">
        <f>IFERROR(__xludf.DUMMYFUNCTION("""COMPUTED_VALUE"""),42527.7278)</f>
        <v>42527.7278</v>
      </c>
      <c r="S64" s="322">
        <f>IFERROR(__xludf.DUMMYFUNCTION("""COMPUTED_VALUE"""),0.0)</f>
        <v>0</v>
      </c>
      <c r="T64" s="322">
        <f>IFERROR(__xludf.DUMMYFUNCTION("""COMPUTED_VALUE"""),0.0)</f>
        <v>0</v>
      </c>
      <c r="U64" s="322">
        <f>IFERROR(__xludf.DUMMYFUNCTION("""COMPUTED_VALUE"""),0.0)</f>
        <v>0</v>
      </c>
      <c r="V64" s="322">
        <f>IFERROR(__xludf.DUMMYFUNCTION("""COMPUTED_VALUE"""),0.0)</f>
        <v>0</v>
      </c>
      <c r="W64" s="165">
        <f>IFERROR(__xludf.DUMMYFUNCTION("""COMPUTED_VALUE"""),39745.54)</f>
        <v>39745.54</v>
      </c>
      <c r="X64" s="165">
        <f>IFERROR(__xludf.DUMMYFUNCTION("""COMPUTED_VALUE"""),0.0)</f>
        <v>0</v>
      </c>
      <c r="Y64" s="165">
        <f>IFERROR(__xludf.DUMMYFUNCTION("""COMPUTED_VALUE"""),49018.96)</f>
        <v>49018.96</v>
      </c>
      <c r="Z64" s="165">
        <f>IFERROR(__xludf.DUMMYFUNCTION("""COMPUTED_VALUE"""),38936.36)</f>
        <v>38936.36</v>
      </c>
      <c r="AA64" s="165">
        <f>IFERROR(__xludf.DUMMYFUNCTION("""COMPUTED_VALUE"""),39975.6)</f>
        <v>39975.6</v>
      </c>
      <c r="AB64" s="165">
        <f>IFERROR(__xludf.DUMMYFUNCTION("""COMPUTED_VALUE"""),0.0)</f>
        <v>0</v>
      </c>
      <c r="AC64" s="323">
        <f>IFERROR(__xludf.DUMMYFUNCTION("""COMPUTED_VALUE"""),0.0)</f>
        <v>0</v>
      </c>
      <c r="AD64" s="167">
        <f>IFERROR(__xludf.DUMMYFUNCTION("""COMPUTED_VALUE"""),127930.92000000001)</f>
        <v>127930.92</v>
      </c>
      <c r="AE64" s="17"/>
      <c r="AF64" s="168"/>
      <c r="AG64" s="167"/>
      <c r="AH64" s="168"/>
      <c r="AI64" s="167"/>
      <c r="AJ64" s="17"/>
      <c r="AK64" s="168"/>
      <c r="AL64" s="185"/>
      <c r="AM64" s="171">
        <f>IFERROR(__xludf.DUMMYFUNCTION("""COMPUTED_VALUE"""),0.0)</f>
        <v>0</v>
      </c>
      <c r="AN64" s="168">
        <f>IFERROR(__xludf.DUMMYFUNCTION("""COMPUTED_VALUE"""),39745.54)</f>
        <v>39745.54</v>
      </c>
      <c r="AO64" s="17"/>
      <c r="AP64" s="17"/>
      <c r="AQ64" s="168"/>
      <c r="AR64" s="17"/>
      <c r="AS64" s="173"/>
      <c r="AT64" s="17">
        <f>IFERROR(__xludf.DUMMYFUNCTION("""COMPUTED_VALUE"""),49018.96)</f>
        <v>49018.96</v>
      </c>
      <c r="AU64" s="17"/>
      <c r="AV64" s="173"/>
      <c r="AW64" s="17">
        <f>IFERROR(__xludf.DUMMYFUNCTION("""COMPUTED_VALUE"""),38936.36)</f>
        <v>38936.36</v>
      </c>
      <c r="AX64" s="17"/>
      <c r="AY64" s="17"/>
      <c r="AZ64" s="176"/>
      <c r="BA64" s="177"/>
      <c r="BB64" s="17"/>
      <c r="BC64" s="17"/>
      <c r="BD64" s="17"/>
      <c r="BE64" s="17"/>
      <c r="BF64" s="173"/>
      <c r="BG64" s="17">
        <f>IFERROR(__xludf.DUMMYFUNCTION("""COMPUTED_VALUE"""),39745.54)</f>
        <v>39745.54</v>
      </c>
      <c r="BH64" s="173"/>
      <c r="BI64" s="17">
        <f>IFERROR(__xludf.DUMMYFUNCTION("""COMPUTED_VALUE"""),230.06)</f>
        <v>230.06</v>
      </c>
      <c r="BJ64" s="17"/>
      <c r="BK64" s="17"/>
      <c r="BL64" s="179"/>
      <c r="BM64" s="180" t="str">
        <f>IFERROR(__xludf.DUMMYFUNCTION("""COMPUTED_VALUE"""),"Approval")</f>
        <v>Approval</v>
      </c>
      <c r="BN64" s="181">
        <f>IFERROR(__xludf.DUMMYFUNCTION("""COMPUTED_VALUE"""),46147.65812341435)</f>
        <v>46147.65812</v>
      </c>
      <c r="BO64" s="2"/>
      <c r="BP64" s="133"/>
      <c r="BQ64" s="133"/>
      <c r="BR64" s="133"/>
      <c r="BS64" s="25"/>
    </row>
    <row r="65" hidden="1">
      <c r="A65" s="151" t="str">
        <f>IFERROR(__xludf.DUMMYFUNCTION("""COMPUTED_VALUE"""),"April'26")</f>
        <v>April'26</v>
      </c>
      <c r="B65" s="152" t="str">
        <f>IFERROR(__xludf.DUMMYFUNCTION("""COMPUTED_VALUE"""),"Daily Beauty (Mise en Scene, RYO, Lilyoon) - Paid Advance")</f>
        <v>Daily Beauty (Mise en Scene, RYO, Lilyoon) - Paid Advance</v>
      </c>
      <c r="C65" s="234" t="str">
        <f>IFERROR(__xludf.DUMMYFUNCTION("""COMPUTED_VALUE"""),"6353 Amorepacific (Thailand) Limited")</f>
        <v>6353 Amorepacific (Thailand) Limited</v>
      </c>
      <c r="D65" s="315"/>
      <c r="E65" s="316" t="str">
        <f>IFERROR(__xludf.DUMMYFUNCTION("""COMPUTED_VALUE"""),"Bam")</f>
        <v>Bam</v>
      </c>
      <c r="F65" s="317" t="str">
        <f>IFERROR(__xludf.DUMMYFUNCTION("""COMPUTED_VALUE"""),"Mangpor")</f>
        <v>Mangpor</v>
      </c>
      <c r="G65" s="318" t="str">
        <f>IFERROR(__xludf.DUMMYFUNCTION("""COMPUTED_VALUE"""),"Pompam")</f>
        <v>Pompam</v>
      </c>
      <c r="H65" s="318">
        <f>IFERROR(__xludf.DUMMYFUNCTION("""COMPUTED_VALUE"""),0.0)</f>
        <v>0</v>
      </c>
      <c r="I65" s="318">
        <f>IFERROR(__xludf.DUMMYFUNCTION("""COMPUTED_VALUE"""),0.0)</f>
        <v>0</v>
      </c>
      <c r="J65" s="318">
        <f>IFERROR(__xludf.DUMMYFUNCTION("""COMPUTED_VALUE"""),0.0)</f>
        <v>0</v>
      </c>
      <c r="K65" s="319">
        <f>IFERROR(__xludf.DUMMYFUNCTION("""COMPUTED_VALUE"""),0.0)</f>
        <v>0</v>
      </c>
      <c r="L65" s="320">
        <f>IFERROR(__xludf.DUMMYFUNCTION("""COMPUTED_VALUE"""),0.0)</f>
        <v>0</v>
      </c>
      <c r="M65" s="3">
        <f>IFERROR(__xludf.DUMMYFUNCTION("""COMPUTED_VALUE"""),0.0)</f>
        <v>0</v>
      </c>
      <c r="N65" s="160"/>
      <c r="O65" s="321"/>
      <c r="P65" s="322">
        <f>IFERROR(__xludf.DUMMYFUNCTION("""COMPUTED_VALUE"""),0.0)</f>
        <v>0</v>
      </c>
      <c r="Q65" s="323">
        <f>IFERROR(__xludf.DUMMYFUNCTION("""COMPUTED_VALUE"""),0.0)</f>
        <v>0</v>
      </c>
      <c r="R65" s="322">
        <f>IFERROR(__xludf.DUMMYFUNCTION("""COMPUTED_VALUE"""),0.0)</f>
        <v>0</v>
      </c>
      <c r="S65" s="322">
        <f>IFERROR(__xludf.DUMMYFUNCTION("""COMPUTED_VALUE"""),0.0)</f>
        <v>0</v>
      </c>
      <c r="T65" s="322">
        <f>IFERROR(__xludf.DUMMYFUNCTION("""COMPUTED_VALUE"""),0.0)</f>
        <v>0</v>
      </c>
      <c r="U65" s="322">
        <f>IFERROR(__xludf.DUMMYFUNCTION("""COMPUTED_VALUE"""),0.0)</f>
        <v>0</v>
      </c>
      <c r="V65" s="322">
        <f>IFERROR(__xludf.DUMMYFUNCTION("""COMPUTED_VALUE"""),0.0)</f>
        <v>0</v>
      </c>
      <c r="W65" s="165">
        <f>IFERROR(__xludf.DUMMYFUNCTION("""COMPUTED_VALUE"""),0.0)</f>
        <v>0</v>
      </c>
      <c r="X65" s="165">
        <f>IFERROR(__xludf.DUMMYFUNCTION("""COMPUTED_VALUE"""),0.0)</f>
        <v>0</v>
      </c>
      <c r="Y65" s="165">
        <f>IFERROR(__xludf.DUMMYFUNCTION("""COMPUTED_VALUE"""),48956.719999999994)</f>
        <v>48956.72</v>
      </c>
      <c r="Z65" s="165">
        <f>IFERROR(__xludf.DUMMYFUNCTION("""COMPUTED_VALUE"""),0.0)</f>
        <v>0</v>
      </c>
      <c r="AA65" s="165">
        <f>IFERROR(__xludf.DUMMYFUNCTION("""COMPUTED_VALUE"""),0.0)</f>
        <v>0</v>
      </c>
      <c r="AB65" s="165">
        <f>IFERROR(__xludf.DUMMYFUNCTION("""COMPUTED_VALUE"""),0.0)</f>
        <v>0</v>
      </c>
      <c r="AC65" s="323">
        <f>IFERROR(__xludf.DUMMYFUNCTION("""COMPUTED_VALUE"""),0.0)</f>
        <v>0</v>
      </c>
      <c r="AD65" s="167">
        <f>IFERROR(__xludf.DUMMYFUNCTION("""COMPUTED_VALUE"""),48956.719999999994)</f>
        <v>48956.72</v>
      </c>
      <c r="AE65" s="17"/>
      <c r="AF65" s="168"/>
      <c r="AG65" s="167"/>
      <c r="AH65" s="168"/>
      <c r="AI65" s="167"/>
      <c r="AJ65" s="17"/>
      <c r="AK65" s="168"/>
      <c r="AL65" s="185"/>
      <c r="AM65" s="17">
        <f>IFERROR(__xludf.DUMMYFUNCTION("""COMPUTED_VALUE"""),0.0)</f>
        <v>0</v>
      </c>
      <c r="AN65" s="168"/>
      <c r="AO65" s="17"/>
      <c r="AP65" s="17"/>
      <c r="AQ65" s="168"/>
      <c r="AR65" s="17"/>
      <c r="AS65" s="173"/>
      <c r="AT65" s="173">
        <f>IFERROR(__xludf.DUMMYFUNCTION("""COMPUTED_VALUE"""),47578.38)</f>
        <v>47578.38</v>
      </c>
      <c r="AU65" s="17">
        <f>IFERROR(__xludf.DUMMYFUNCTION("""COMPUTED_VALUE"""),1378.34)</f>
        <v>1378.34</v>
      </c>
      <c r="AV65" s="17"/>
      <c r="AW65" s="17"/>
      <c r="AX65" s="17"/>
      <c r="AY65" s="17"/>
      <c r="AZ65" s="176"/>
      <c r="BA65" s="17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9"/>
      <c r="BM65" s="180" t="str">
        <f>IFERROR(__xludf.DUMMYFUNCTION("""COMPUTED_VALUE"""),"Approval")</f>
        <v>Approval</v>
      </c>
      <c r="BN65" s="181">
        <f>IFERROR(__xludf.DUMMYFUNCTION("""COMPUTED_VALUE"""),46147.65812341435)</f>
        <v>46147.65812</v>
      </c>
      <c r="BO65" s="2"/>
      <c r="BP65" s="133"/>
      <c r="BQ65" s="133"/>
      <c r="BR65" s="133"/>
      <c r="BS65" s="25"/>
    </row>
    <row r="66" hidden="1">
      <c r="A66" s="179"/>
      <c r="B66" s="188" t="str">
        <f>IFERROR(__xludf.DUMMYFUNCTION("""COMPUTED_VALUE"""),"Sulwhasoo - MKT Fee")</f>
        <v>Sulwhasoo - MKT Fee</v>
      </c>
      <c r="C66" s="234" t="str">
        <f>IFERROR(__xludf.DUMMYFUNCTION("""COMPUTED_VALUE"""),"6353 Amorepacific (Thailand) Limited")</f>
        <v>6353 Amorepacific (Thailand) Limited</v>
      </c>
      <c r="D66" s="315"/>
      <c r="E66" s="316" t="str">
        <f>IFERROR(__xludf.DUMMYFUNCTION("""COMPUTED_VALUE"""),"Bam")</f>
        <v>Bam</v>
      </c>
      <c r="F66" s="317" t="str">
        <f>IFERROR(__xludf.DUMMYFUNCTION("""COMPUTED_VALUE"""),"Mangpor")</f>
        <v>Mangpor</v>
      </c>
      <c r="G66" s="318" t="str">
        <f>IFERROR(__xludf.DUMMYFUNCTION("""COMPUTED_VALUE"""),"Pompam")</f>
        <v>Pompam</v>
      </c>
      <c r="H66" s="318">
        <f>IFERROR(__xludf.DUMMYFUNCTION("""COMPUTED_VALUE"""),0.1)</f>
        <v>0.1</v>
      </c>
      <c r="I66" s="318">
        <f>IFERROR(__xludf.DUMMYFUNCTION("""COMPUTED_VALUE"""),0.0)</f>
        <v>0</v>
      </c>
      <c r="J66" s="318">
        <f>IFERROR(__xludf.DUMMYFUNCTION("""COMPUTED_VALUE"""),0.0)</f>
        <v>0</v>
      </c>
      <c r="K66" s="319">
        <f>IFERROR(__xludf.DUMMYFUNCTION("""COMPUTED_VALUE"""),0.0)</f>
        <v>0</v>
      </c>
      <c r="L66" s="159">
        <f>IFERROR(__xludf.DUMMYFUNCTION("""COMPUTED_VALUE"""),0.0)</f>
        <v>0</v>
      </c>
      <c r="M66" s="3">
        <f>IFERROR(__xludf.DUMMYFUNCTION("""COMPUTED_VALUE"""),35000.0)</f>
        <v>35000</v>
      </c>
      <c r="N66" s="160"/>
      <c r="O66" s="321"/>
      <c r="P66" s="322">
        <f>IFERROR(__xludf.DUMMYFUNCTION("""COMPUTED_VALUE"""),47140.653000000006)</f>
        <v>47140.653</v>
      </c>
      <c r="Q66" s="323">
        <f>IFERROR(__xludf.DUMMYFUNCTION("""COMPUTED_VALUE"""),3299.8457100000005)</f>
        <v>3299.84571</v>
      </c>
      <c r="R66" s="322">
        <f>IFERROR(__xludf.DUMMYFUNCTION("""COMPUTED_VALUE"""),50440.49871000001)</f>
        <v>50440.49871</v>
      </c>
      <c r="S66" s="322">
        <f>IFERROR(__xludf.DUMMYFUNCTION("""COMPUTED_VALUE"""),0.0)</f>
        <v>0</v>
      </c>
      <c r="T66" s="322">
        <f>IFERROR(__xludf.DUMMYFUNCTION("""COMPUTED_VALUE"""),0.0)</f>
        <v>0</v>
      </c>
      <c r="U66" s="322">
        <f>IFERROR(__xludf.DUMMYFUNCTION("""COMPUTED_VALUE"""),0.0)</f>
        <v>0</v>
      </c>
      <c r="V66" s="322">
        <f>IFERROR(__xludf.DUMMYFUNCTION("""COMPUTED_VALUE"""),0.0)</f>
        <v>0</v>
      </c>
      <c r="W66" s="171">
        <f>IFERROR(__xludf.DUMMYFUNCTION("""COMPUTED_VALUE"""),0.0)</f>
        <v>0</v>
      </c>
      <c r="X66" s="165">
        <f>IFERROR(__xludf.DUMMYFUNCTION("""COMPUTED_VALUE"""),47140.653000000006)</f>
        <v>47140.653</v>
      </c>
      <c r="Y66" s="165">
        <f>IFERROR(__xludf.DUMMYFUNCTION("""COMPUTED_VALUE"""),0.0)</f>
        <v>0</v>
      </c>
      <c r="Z66" s="165">
        <f>IFERROR(__xludf.DUMMYFUNCTION("""COMPUTED_VALUE"""),0.0)</f>
        <v>0</v>
      </c>
      <c r="AA66" s="165">
        <f>IFERROR(__xludf.DUMMYFUNCTION("""COMPUTED_VALUE"""),55270.62)</f>
        <v>55270.62</v>
      </c>
      <c r="AB66" s="165">
        <f>IFERROR(__xludf.DUMMYFUNCTION("""COMPUTED_VALUE"""),0.0)</f>
        <v>0</v>
      </c>
      <c r="AC66" s="323">
        <f>IFERROR(__xludf.DUMMYFUNCTION("""COMPUTED_VALUE"""),0.0)</f>
        <v>0</v>
      </c>
      <c r="AD66" s="167">
        <f>IFERROR(__xludf.DUMMYFUNCTION("""COMPUTED_VALUE"""),55270.62)</f>
        <v>55270.62</v>
      </c>
      <c r="AE66" s="17"/>
      <c r="AF66" s="168"/>
      <c r="AG66" s="167"/>
      <c r="AH66" s="168"/>
      <c r="AI66" s="167"/>
      <c r="AJ66" s="17"/>
      <c r="AK66" s="168"/>
      <c r="AL66" s="185"/>
      <c r="AM66" s="171">
        <f>IFERROR(__xludf.DUMMYFUNCTION("""COMPUTED_VALUE"""),0.0)</f>
        <v>0</v>
      </c>
      <c r="AN66" s="168">
        <f>IFERROR(__xludf.DUMMYFUNCTION("""COMPUTED_VALUE"""),55270.62)</f>
        <v>55270.62</v>
      </c>
      <c r="AO66" s="17"/>
      <c r="AP66" s="17"/>
      <c r="AQ66" s="168"/>
      <c r="AR66" s="17"/>
      <c r="AS66" s="17"/>
      <c r="AT66" s="17"/>
      <c r="AU66" s="17"/>
      <c r="AV66" s="17"/>
      <c r="AW66" s="17"/>
      <c r="AX66" s="17"/>
      <c r="AY66" s="17"/>
      <c r="AZ66" s="176"/>
      <c r="BA66" s="177"/>
      <c r="BB66" s="17"/>
      <c r="BC66" s="17"/>
      <c r="BD66" s="17"/>
      <c r="BE66" s="17"/>
      <c r="BF66" s="173"/>
      <c r="BG66" s="17">
        <f>IFERROR(__xludf.DUMMYFUNCTION("""COMPUTED_VALUE"""),55270.62)</f>
        <v>55270.62</v>
      </c>
      <c r="BH66" s="17"/>
      <c r="BI66" s="17"/>
      <c r="BJ66" s="17"/>
      <c r="BK66" s="17"/>
      <c r="BL66" s="179"/>
      <c r="BM66" s="181" t="str">
        <f>IFERROR(__xludf.DUMMYFUNCTION("""COMPUTED_VALUE"""),"Approval")</f>
        <v>Approval</v>
      </c>
      <c r="BN66" s="2"/>
      <c r="BO66" s="2"/>
      <c r="BP66" s="133"/>
      <c r="BQ66" s="133"/>
      <c r="BR66" s="133"/>
      <c r="BS66" s="25"/>
    </row>
    <row r="67" hidden="1">
      <c r="A67" s="179"/>
      <c r="B67" s="188" t="str">
        <f>IFERROR(__xludf.DUMMYFUNCTION("""COMPUTED_VALUE"""),"Laneige - MKT Fee")</f>
        <v>Laneige - MKT Fee</v>
      </c>
      <c r="C67" s="234" t="str">
        <f>IFERROR(__xludf.DUMMYFUNCTION("""COMPUTED_VALUE"""),"6353 Amorepacific (Thailand) Limited")</f>
        <v>6353 Amorepacific (Thailand) Limited</v>
      </c>
      <c r="D67" s="315"/>
      <c r="E67" s="316" t="str">
        <f>IFERROR(__xludf.DUMMYFUNCTION("""COMPUTED_VALUE"""),"Bam")</f>
        <v>Bam</v>
      </c>
      <c r="F67" s="317" t="str">
        <f>IFERROR(__xludf.DUMMYFUNCTION("""COMPUTED_VALUE"""),"Mangpor")</f>
        <v>Mangpor</v>
      </c>
      <c r="G67" s="318" t="str">
        <f>IFERROR(__xludf.DUMMYFUNCTION("""COMPUTED_VALUE"""),"Pompam")</f>
        <v>Pompam</v>
      </c>
      <c r="H67" s="318">
        <f>IFERROR(__xludf.DUMMYFUNCTION("""COMPUTED_VALUE"""),0.1)</f>
        <v>0.1</v>
      </c>
      <c r="I67" s="318">
        <f>IFERROR(__xludf.DUMMYFUNCTION("""COMPUTED_VALUE"""),0.0)</f>
        <v>0</v>
      </c>
      <c r="J67" s="318">
        <f>IFERROR(__xludf.DUMMYFUNCTION("""COMPUTED_VALUE"""),0.0)</f>
        <v>0</v>
      </c>
      <c r="K67" s="319">
        <f>IFERROR(__xludf.DUMMYFUNCTION("""COMPUTED_VALUE"""),0.0)</f>
        <v>0</v>
      </c>
      <c r="M67" s="3"/>
      <c r="N67" s="160"/>
      <c r="O67" s="321"/>
      <c r="P67" s="322">
        <f>IFERROR(__xludf.DUMMYFUNCTION("""COMPUTED_VALUE"""),0.0)</f>
        <v>0</v>
      </c>
      <c r="Q67" s="323">
        <f>IFERROR(__xludf.DUMMYFUNCTION("""COMPUTED_VALUE"""),0.0)</f>
        <v>0</v>
      </c>
      <c r="R67" s="322">
        <f>IFERROR(__xludf.DUMMYFUNCTION("""COMPUTED_VALUE"""),0.0)</f>
        <v>0</v>
      </c>
      <c r="S67" s="322">
        <f>IFERROR(__xludf.DUMMYFUNCTION("""COMPUTED_VALUE"""),0.0)</f>
        <v>0</v>
      </c>
      <c r="T67" s="322">
        <f>IFERROR(__xludf.DUMMYFUNCTION("""COMPUTED_VALUE"""),0.0)</f>
        <v>0</v>
      </c>
      <c r="U67" s="322">
        <f>IFERROR(__xludf.DUMMYFUNCTION("""COMPUTED_VALUE"""),0.0)</f>
        <v>0</v>
      </c>
      <c r="V67" s="322">
        <f>IFERROR(__xludf.DUMMYFUNCTION("""COMPUTED_VALUE"""),0.0)</f>
        <v>0</v>
      </c>
      <c r="X67" s="165"/>
      <c r="Y67" s="165">
        <f>IFERROR(__xludf.DUMMYFUNCTION("""COMPUTED_VALUE"""),0.0)</f>
        <v>0</v>
      </c>
      <c r="Z67" s="165">
        <f>IFERROR(__xludf.DUMMYFUNCTION("""COMPUTED_VALUE"""),0.0)</f>
        <v>0</v>
      </c>
      <c r="AA67" s="165">
        <f>IFERROR(__xludf.DUMMYFUNCTION("""COMPUTED_VALUE"""),158825.93)</f>
        <v>158825.93</v>
      </c>
      <c r="AB67" s="165">
        <f>IFERROR(__xludf.DUMMYFUNCTION("""COMPUTED_VALUE"""),0.0)</f>
        <v>0</v>
      </c>
      <c r="AC67" s="323">
        <f>IFERROR(__xludf.DUMMYFUNCTION("""COMPUTED_VALUE"""),0.0)</f>
        <v>0</v>
      </c>
      <c r="AD67" s="167">
        <f>IFERROR(__xludf.DUMMYFUNCTION("""COMPUTED_VALUE"""),158825.93)</f>
        <v>158825.93</v>
      </c>
      <c r="AE67" s="17"/>
      <c r="AF67" s="168"/>
      <c r="AG67" s="167"/>
      <c r="AH67" s="168"/>
      <c r="AI67" s="167"/>
      <c r="AJ67" s="17"/>
      <c r="AK67" s="168"/>
      <c r="AL67" s="185"/>
      <c r="AM67" s="171">
        <f>IFERROR(__xludf.DUMMYFUNCTION("""COMPUTED_VALUE"""),0.0)</f>
        <v>0</v>
      </c>
      <c r="AN67" s="168">
        <f>IFERROR(__xludf.DUMMYFUNCTION("""COMPUTED_VALUE"""),148356.52)</f>
        <v>148356.52</v>
      </c>
      <c r="AO67" s="17"/>
      <c r="AP67" s="17"/>
      <c r="AQ67" s="168"/>
      <c r="AR67" s="17"/>
      <c r="AS67" s="17"/>
      <c r="AT67" s="17"/>
      <c r="AU67" s="17"/>
      <c r="AV67" s="17"/>
      <c r="AW67" s="17"/>
      <c r="AX67" s="17"/>
      <c r="AY67" s="17"/>
      <c r="AZ67" s="176"/>
      <c r="BA67" s="177"/>
      <c r="BB67" s="17"/>
      <c r="BC67" s="17"/>
      <c r="BD67" s="17"/>
      <c r="BE67" s="17"/>
      <c r="BF67" s="173"/>
      <c r="BG67" s="17">
        <f>IFERROR(__xludf.DUMMYFUNCTION("""COMPUTED_VALUE"""),148356.52)</f>
        <v>148356.52</v>
      </c>
      <c r="BH67" s="173"/>
      <c r="BI67" s="17">
        <f>IFERROR(__xludf.DUMMYFUNCTION("""COMPUTED_VALUE"""),10469.41)</f>
        <v>10469.41</v>
      </c>
      <c r="BJ67" s="17"/>
      <c r="BK67" s="17"/>
      <c r="BL67" s="179"/>
      <c r="BM67" s="181" t="str">
        <f>IFERROR(__xludf.DUMMYFUNCTION("""COMPUTED_VALUE"""),"Approval")</f>
        <v>Approval</v>
      </c>
      <c r="BN67" s="2"/>
      <c r="BO67" s="2"/>
      <c r="BP67" s="133"/>
      <c r="BQ67" s="133"/>
      <c r="BR67" s="133"/>
      <c r="BS67" s="25"/>
    </row>
    <row r="68" hidden="1">
      <c r="A68" s="179"/>
      <c r="B68" s="188" t="str">
        <f>IFERROR(__xludf.DUMMYFUNCTION("""COMPUTED_VALUE"""),"Hera - MKT Fee")</f>
        <v>Hera - MKT Fee</v>
      </c>
      <c r="C68" s="234" t="str">
        <f>IFERROR(__xludf.DUMMYFUNCTION("""COMPUTED_VALUE"""),"6353 Amorepacific (Thailand) Limited")</f>
        <v>6353 Amorepacific (Thailand) Limited</v>
      </c>
      <c r="D68" s="315"/>
      <c r="E68" s="316" t="str">
        <f>IFERROR(__xludf.DUMMYFUNCTION("""COMPUTED_VALUE"""),"Bam")</f>
        <v>Bam</v>
      </c>
      <c r="F68" s="317" t="str">
        <f>IFERROR(__xludf.DUMMYFUNCTION("""COMPUTED_VALUE"""),"Mangpor")</f>
        <v>Mangpor</v>
      </c>
      <c r="G68" s="318" t="str">
        <f>IFERROR(__xludf.DUMMYFUNCTION("""COMPUTED_VALUE"""),"Pompam")</f>
        <v>Pompam</v>
      </c>
      <c r="H68" s="318">
        <f>IFERROR(__xludf.DUMMYFUNCTION("""COMPUTED_VALUE"""),0.1)</f>
        <v>0.1</v>
      </c>
      <c r="I68" s="318">
        <f>IFERROR(__xludf.DUMMYFUNCTION("""COMPUTED_VALUE"""),0.0)</f>
        <v>0</v>
      </c>
      <c r="J68" s="318">
        <f>IFERROR(__xludf.DUMMYFUNCTION("""COMPUTED_VALUE"""),0.0)</f>
        <v>0</v>
      </c>
      <c r="K68" s="319">
        <f>IFERROR(__xludf.DUMMYFUNCTION("""COMPUTED_VALUE"""),0.0)</f>
        <v>0</v>
      </c>
      <c r="M68" s="3"/>
      <c r="N68" s="160"/>
      <c r="O68" s="321"/>
      <c r="P68" s="322">
        <f>IFERROR(__xludf.DUMMYFUNCTION("""COMPUTED_VALUE"""),0.0)</f>
        <v>0</v>
      </c>
      <c r="Q68" s="323">
        <f>IFERROR(__xludf.DUMMYFUNCTION("""COMPUTED_VALUE"""),0.0)</f>
        <v>0</v>
      </c>
      <c r="R68" s="322">
        <f>IFERROR(__xludf.DUMMYFUNCTION("""COMPUTED_VALUE"""),0.0)</f>
        <v>0</v>
      </c>
      <c r="S68" s="322">
        <f>IFERROR(__xludf.DUMMYFUNCTION("""COMPUTED_VALUE"""),0.0)</f>
        <v>0</v>
      </c>
      <c r="T68" s="322">
        <f>IFERROR(__xludf.DUMMYFUNCTION("""COMPUTED_VALUE"""),0.0)</f>
        <v>0</v>
      </c>
      <c r="U68" s="322">
        <f>IFERROR(__xludf.DUMMYFUNCTION("""COMPUTED_VALUE"""),0.0)</f>
        <v>0</v>
      </c>
      <c r="V68" s="322">
        <f>IFERROR(__xludf.DUMMYFUNCTION("""COMPUTED_VALUE"""),0.0)</f>
        <v>0</v>
      </c>
      <c r="X68" s="165"/>
      <c r="Y68" s="165">
        <f>IFERROR(__xludf.DUMMYFUNCTION("""COMPUTED_VALUE"""),32857.19)</f>
        <v>32857.19</v>
      </c>
      <c r="Z68" s="165">
        <f>IFERROR(__xludf.DUMMYFUNCTION("""COMPUTED_VALUE"""),29629.58)</f>
        <v>29629.58</v>
      </c>
      <c r="AA68" s="165">
        <f>IFERROR(__xludf.DUMMYFUNCTION("""COMPUTED_VALUE"""),17935.57)</f>
        <v>17935.57</v>
      </c>
      <c r="AB68" s="165">
        <f>IFERROR(__xludf.DUMMYFUNCTION("""COMPUTED_VALUE"""),0.0)</f>
        <v>0</v>
      </c>
      <c r="AC68" s="323">
        <f>IFERROR(__xludf.DUMMYFUNCTION("""COMPUTED_VALUE"""),0.0)</f>
        <v>0</v>
      </c>
      <c r="AD68" s="167">
        <f>IFERROR(__xludf.DUMMYFUNCTION("""COMPUTED_VALUE"""),80422.34)</f>
        <v>80422.34</v>
      </c>
      <c r="AE68" s="17"/>
      <c r="AF68" s="168"/>
      <c r="AG68" s="167"/>
      <c r="AH68" s="168"/>
      <c r="AI68" s="167"/>
      <c r="AJ68" s="17"/>
      <c r="AK68" s="168"/>
      <c r="AL68" s="185"/>
      <c r="AM68" s="171">
        <f>IFERROR(__xludf.DUMMYFUNCTION("""COMPUTED_VALUE"""),0.0)</f>
        <v>0</v>
      </c>
      <c r="AN68" s="168">
        <f>IFERROR(__xludf.DUMMYFUNCTION("""COMPUTED_VALUE"""),17935.57)</f>
        <v>17935.57</v>
      </c>
      <c r="AO68" s="17"/>
      <c r="AP68" s="17"/>
      <c r="AQ68" s="168"/>
      <c r="AR68" s="17"/>
      <c r="AS68" s="173"/>
      <c r="AT68" s="173">
        <f>IFERROR(__xludf.DUMMYFUNCTION("""COMPUTED_VALUE"""),30259.46)</f>
        <v>30259.46</v>
      </c>
      <c r="AU68" s="17">
        <f>IFERROR(__xludf.DUMMYFUNCTION("""COMPUTED_VALUE"""),2597.73)</f>
        <v>2597.73</v>
      </c>
      <c r="AV68" s="173"/>
      <c r="AW68" s="17">
        <f>IFERROR(__xludf.DUMMYFUNCTION("""COMPUTED_VALUE"""),29629.58)</f>
        <v>29629.58</v>
      </c>
      <c r="AX68" s="17"/>
      <c r="AY68" s="17"/>
      <c r="AZ68" s="176"/>
      <c r="BA68" s="177"/>
      <c r="BB68" s="17"/>
      <c r="BC68" s="17"/>
      <c r="BD68" s="17"/>
      <c r="BE68" s="17"/>
      <c r="BF68" s="173"/>
      <c r="BG68" s="17">
        <f>IFERROR(__xludf.DUMMYFUNCTION("""COMPUTED_VALUE"""),17935.57)</f>
        <v>17935.57</v>
      </c>
      <c r="BH68" s="17"/>
      <c r="BI68" s="17"/>
      <c r="BJ68" s="17"/>
      <c r="BK68" s="17"/>
      <c r="BL68" s="179"/>
      <c r="BM68" s="181" t="str">
        <f>IFERROR(__xludf.DUMMYFUNCTION("""COMPUTED_VALUE"""),"Approval")</f>
        <v>Approval</v>
      </c>
      <c r="BN68" s="2"/>
      <c r="BO68" s="2"/>
      <c r="BP68" s="133"/>
      <c r="BQ68" s="133"/>
      <c r="BR68" s="133"/>
      <c r="BS68" s="25"/>
    </row>
    <row r="69" hidden="1">
      <c r="A69" s="179"/>
      <c r="B69" s="188" t="str">
        <f>IFERROR(__xludf.DUMMYFUNCTION("""COMPUTED_VALUE"""),"Aestura - MKT Fee")</f>
        <v>Aestura - MKT Fee</v>
      </c>
      <c r="C69" s="234" t="str">
        <f>IFERROR(__xludf.DUMMYFUNCTION("""COMPUTED_VALUE"""),"6353 Amorepacific (Thailand) Limited")</f>
        <v>6353 Amorepacific (Thailand) Limited</v>
      </c>
      <c r="D69" s="315"/>
      <c r="E69" s="316" t="str">
        <f>IFERROR(__xludf.DUMMYFUNCTION("""COMPUTED_VALUE"""),"Bam")</f>
        <v>Bam</v>
      </c>
      <c r="F69" s="317" t="str">
        <f>IFERROR(__xludf.DUMMYFUNCTION("""COMPUTED_VALUE"""),"Mangpor")</f>
        <v>Mangpor</v>
      </c>
      <c r="G69" s="318" t="str">
        <f>IFERROR(__xludf.DUMMYFUNCTION("""COMPUTED_VALUE"""),"Pompam")</f>
        <v>Pompam</v>
      </c>
      <c r="H69" s="318">
        <f>IFERROR(__xludf.DUMMYFUNCTION("""COMPUTED_VALUE"""),0.1)</f>
        <v>0.1</v>
      </c>
      <c r="I69" s="318">
        <f>IFERROR(__xludf.DUMMYFUNCTION("""COMPUTED_VALUE"""),0.0)</f>
        <v>0</v>
      </c>
      <c r="J69" s="318">
        <f>IFERROR(__xludf.DUMMYFUNCTION("""COMPUTED_VALUE"""),0.0)</f>
        <v>0</v>
      </c>
      <c r="K69" s="319">
        <f>IFERROR(__xludf.DUMMYFUNCTION("""COMPUTED_VALUE"""),0.0)</f>
        <v>0</v>
      </c>
      <c r="M69" s="3"/>
      <c r="N69" s="160"/>
      <c r="O69" s="321"/>
      <c r="P69" s="322">
        <f>IFERROR(__xludf.DUMMYFUNCTION("""COMPUTED_VALUE"""),0.0)</f>
        <v>0</v>
      </c>
      <c r="Q69" s="323">
        <f>IFERROR(__xludf.DUMMYFUNCTION("""COMPUTED_VALUE"""),0.0)</f>
        <v>0</v>
      </c>
      <c r="R69" s="322">
        <f>IFERROR(__xludf.DUMMYFUNCTION("""COMPUTED_VALUE"""),0.0)</f>
        <v>0</v>
      </c>
      <c r="S69" s="322">
        <f>IFERROR(__xludf.DUMMYFUNCTION("""COMPUTED_VALUE"""),0.0)</f>
        <v>0</v>
      </c>
      <c r="T69" s="322">
        <f>IFERROR(__xludf.DUMMYFUNCTION("""COMPUTED_VALUE"""),0.0)</f>
        <v>0</v>
      </c>
      <c r="U69" s="322">
        <f>IFERROR(__xludf.DUMMYFUNCTION("""COMPUTED_VALUE"""),0.0)</f>
        <v>0</v>
      </c>
      <c r="V69" s="322">
        <f>IFERROR(__xludf.DUMMYFUNCTION("""COMPUTED_VALUE"""),0.0)</f>
        <v>0</v>
      </c>
      <c r="X69" s="165"/>
      <c r="Y69" s="165">
        <f>IFERROR(__xludf.DUMMYFUNCTION("""COMPUTED_VALUE"""),49018.96)</f>
        <v>49018.96</v>
      </c>
      <c r="Z69" s="165">
        <f>IFERROR(__xludf.DUMMYFUNCTION("""COMPUTED_VALUE"""),38936.36)</f>
        <v>38936.36</v>
      </c>
      <c r="AA69" s="165">
        <f>IFERROR(__xludf.DUMMYFUNCTION("""COMPUTED_VALUE"""),39975.6)</f>
        <v>39975.6</v>
      </c>
      <c r="AB69" s="165">
        <f>IFERROR(__xludf.DUMMYFUNCTION("""COMPUTED_VALUE"""),0.0)</f>
        <v>0</v>
      </c>
      <c r="AC69" s="323">
        <f>IFERROR(__xludf.DUMMYFUNCTION("""COMPUTED_VALUE"""),0.0)</f>
        <v>0</v>
      </c>
      <c r="AD69" s="167">
        <f>IFERROR(__xludf.DUMMYFUNCTION("""COMPUTED_VALUE"""),127930.92000000001)</f>
        <v>127930.92</v>
      </c>
      <c r="AE69" s="17"/>
      <c r="AF69" s="168"/>
      <c r="AG69" s="167"/>
      <c r="AH69" s="168"/>
      <c r="AI69" s="167"/>
      <c r="AJ69" s="17"/>
      <c r="AK69" s="168"/>
      <c r="AL69" s="185"/>
      <c r="AM69" s="171">
        <f>IFERROR(__xludf.DUMMYFUNCTION("""COMPUTED_VALUE"""),0.0)</f>
        <v>0</v>
      </c>
      <c r="AN69" s="168">
        <f>IFERROR(__xludf.DUMMYFUNCTION("""COMPUTED_VALUE"""),39745.54)</f>
        <v>39745.54</v>
      </c>
      <c r="AO69" s="17"/>
      <c r="AP69" s="17"/>
      <c r="AQ69" s="168"/>
      <c r="AR69" s="17"/>
      <c r="AS69" s="173"/>
      <c r="AT69" s="17">
        <f>IFERROR(__xludf.DUMMYFUNCTION("""COMPUTED_VALUE"""),49018.96)</f>
        <v>49018.96</v>
      </c>
      <c r="AU69" s="17"/>
      <c r="AV69" s="173"/>
      <c r="AW69" s="17">
        <f>IFERROR(__xludf.DUMMYFUNCTION("""COMPUTED_VALUE"""),38936.36)</f>
        <v>38936.36</v>
      </c>
      <c r="AX69" s="17"/>
      <c r="AY69" s="17"/>
      <c r="AZ69" s="176"/>
      <c r="BA69" s="177"/>
      <c r="BB69" s="17"/>
      <c r="BC69" s="17"/>
      <c r="BD69" s="17"/>
      <c r="BE69" s="17"/>
      <c r="BF69" s="173"/>
      <c r="BG69" s="17">
        <f>IFERROR(__xludf.DUMMYFUNCTION("""COMPUTED_VALUE"""),39745.54)</f>
        <v>39745.54</v>
      </c>
      <c r="BH69" s="173"/>
      <c r="BI69" s="17">
        <f>IFERROR(__xludf.DUMMYFUNCTION("""COMPUTED_VALUE"""),230.06)</f>
        <v>230.06</v>
      </c>
      <c r="BJ69" s="17"/>
      <c r="BK69" s="17"/>
      <c r="BL69" s="179"/>
      <c r="BM69" s="181" t="str">
        <f>IFERROR(__xludf.DUMMYFUNCTION("""COMPUTED_VALUE"""),"Approval")</f>
        <v>Approval</v>
      </c>
      <c r="BN69" s="2"/>
      <c r="BO69" s="2"/>
      <c r="BP69" s="133"/>
      <c r="BQ69" s="133"/>
      <c r="BR69" s="133"/>
      <c r="BS69" s="25"/>
    </row>
    <row r="70" hidden="1">
      <c r="A70" s="179"/>
      <c r="B70" s="188" t="str">
        <f>IFERROR(__xludf.DUMMYFUNCTION("""COMPUTED_VALUE"""),"Daily Beauty (Mise en Scene, RYO, Lilyoon) - MKT Fee")</f>
        <v>Daily Beauty (Mise en Scene, RYO, Lilyoon) - MKT Fee</v>
      </c>
      <c r="C70" s="234" t="str">
        <f>IFERROR(__xludf.DUMMYFUNCTION("""COMPUTED_VALUE"""),"6353 Amorepacific (Thailand) Limited")</f>
        <v>6353 Amorepacific (Thailand) Limited</v>
      </c>
      <c r="D70" s="315"/>
      <c r="E70" s="316" t="str">
        <f>IFERROR(__xludf.DUMMYFUNCTION("""COMPUTED_VALUE"""),"Bam")</f>
        <v>Bam</v>
      </c>
      <c r="F70" s="317" t="str">
        <f>IFERROR(__xludf.DUMMYFUNCTION("""COMPUTED_VALUE"""),"Mangpor")</f>
        <v>Mangpor</v>
      </c>
      <c r="G70" s="318" t="str">
        <f>IFERROR(__xludf.DUMMYFUNCTION("""COMPUTED_VALUE"""),"Pompam")</f>
        <v>Pompam</v>
      </c>
      <c r="H70" s="318">
        <f>IFERROR(__xludf.DUMMYFUNCTION("""COMPUTED_VALUE"""),0.1)</f>
        <v>0.1</v>
      </c>
      <c r="I70" s="318">
        <f>IFERROR(__xludf.DUMMYFUNCTION("""COMPUTED_VALUE"""),0.0)</f>
        <v>0</v>
      </c>
      <c r="J70" s="318">
        <f>IFERROR(__xludf.DUMMYFUNCTION("""COMPUTED_VALUE"""),0.0)</f>
        <v>0</v>
      </c>
      <c r="K70" s="319">
        <f>IFERROR(__xludf.DUMMYFUNCTION("""COMPUTED_VALUE"""),0.0)</f>
        <v>0</v>
      </c>
      <c r="M70" s="3"/>
      <c r="N70" s="160"/>
      <c r="O70" s="321"/>
      <c r="P70" s="322">
        <f>IFERROR(__xludf.DUMMYFUNCTION("""COMPUTED_VALUE"""),0.0)</f>
        <v>0</v>
      </c>
      <c r="Q70" s="323">
        <f>IFERROR(__xludf.DUMMYFUNCTION("""COMPUTED_VALUE"""),0.0)</f>
        <v>0</v>
      </c>
      <c r="R70" s="322">
        <f>IFERROR(__xludf.DUMMYFUNCTION("""COMPUTED_VALUE"""),0.0)</f>
        <v>0</v>
      </c>
      <c r="S70" s="322">
        <f>IFERROR(__xludf.DUMMYFUNCTION("""COMPUTED_VALUE"""),0.0)</f>
        <v>0</v>
      </c>
      <c r="T70" s="322">
        <f>IFERROR(__xludf.DUMMYFUNCTION("""COMPUTED_VALUE"""),0.0)</f>
        <v>0</v>
      </c>
      <c r="U70" s="322">
        <f>IFERROR(__xludf.DUMMYFUNCTION("""COMPUTED_VALUE"""),0.0)</f>
        <v>0</v>
      </c>
      <c r="V70" s="322">
        <f>IFERROR(__xludf.DUMMYFUNCTION("""COMPUTED_VALUE"""),0.0)</f>
        <v>0</v>
      </c>
      <c r="X70" s="165"/>
      <c r="Y70" s="165">
        <f>IFERROR(__xludf.DUMMYFUNCTION("""COMPUTED_VALUE"""),48956.719999999994)</f>
        <v>48956.72</v>
      </c>
      <c r="Z70" s="165">
        <f>IFERROR(__xludf.DUMMYFUNCTION("""COMPUTED_VALUE"""),0.0)</f>
        <v>0</v>
      </c>
      <c r="AA70" s="165">
        <f>IFERROR(__xludf.DUMMYFUNCTION("""COMPUTED_VALUE"""),0.0)</f>
        <v>0</v>
      </c>
      <c r="AB70" s="165">
        <f>IFERROR(__xludf.DUMMYFUNCTION("""COMPUTED_VALUE"""),0.0)</f>
        <v>0</v>
      </c>
      <c r="AC70" s="323">
        <f>IFERROR(__xludf.DUMMYFUNCTION("""COMPUTED_VALUE"""),0.0)</f>
        <v>0</v>
      </c>
      <c r="AD70" s="167">
        <f>IFERROR(__xludf.DUMMYFUNCTION("""COMPUTED_VALUE"""),48956.719999999994)</f>
        <v>48956.72</v>
      </c>
      <c r="AE70" s="17"/>
      <c r="AF70" s="168"/>
      <c r="AG70" s="167"/>
      <c r="AH70" s="168"/>
      <c r="AI70" s="167"/>
      <c r="AJ70" s="17"/>
      <c r="AK70" s="168"/>
      <c r="AL70" s="185"/>
      <c r="AM70" s="171">
        <f>IFERROR(__xludf.DUMMYFUNCTION("""COMPUTED_VALUE"""),0.0)</f>
        <v>0</v>
      </c>
      <c r="AN70" s="168">
        <f>IFERROR(__xludf.DUMMYFUNCTION("""COMPUTED_VALUE"""),0.0)</f>
        <v>0</v>
      </c>
      <c r="AO70" s="17"/>
      <c r="AP70" s="17"/>
      <c r="AQ70" s="168"/>
      <c r="AR70" s="17"/>
      <c r="AS70" s="173"/>
      <c r="AT70" s="173">
        <f>IFERROR(__xludf.DUMMYFUNCTION("""COMPUTED_VALUE"""),47578.38)</f>
        <v>47578.38</v>
      </c>
      <c r="AU70" s="17">
        <f>IFERROR(__xludf.DUMMYFUNCTION("""COMPUTED_VALUE"""),1378.34)</f>
        <v>1378.34</v>
      </c>
      <c r="AV70" s="17"/>
      <c r="AW70" s="17"/>
      <c r="AX70" s="17"/>
      <c r="AY70" s="17"/>
      <c r="AZ70" s="176"/>
      <c r="BA70" s="17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9"/>
      <c r="BM70" s="181" t="str">
        <f>IFERROR(__xludf.DUMMYFUNCTION("""COMPUTED_VALUE"""),"Approval")</f>
        <v>Approval</v>
      </c>
      <c r="BN70" s="2"/>
      <c r="BO70" s="2"/>
      <c r="BP70" s="133"/>
      <c r="BQ70" s="133"/>
      <c r="BR70" s="133"/>
      <c r="BS70" s="25"/>
    </row>
    <row r="71" hidden="1">
      <c r="A71" s="151" t="str">
        <f>IFERROR(__xludf.DUMMYFUNCTION("""COMPUTED_VALUE"""),"April'26")</f>
        <v>April'26</v>
      </c>
      <c r="B71" s="188" t="str">
        <f>IFERROR(__xludf.DUMMYFUNCTION("""COMPUTED_VALUE"""),"The Ordinary")</f>
        <v>The Ordinary</v>
      </c>
      <c r="C71" s="234" t="str">
        <f>IFERROR(__xludf.DUMMYFUNCTION("""COMPUTED_VALUE"""),"ELCA (THAILAND) LIMITED")</f>
        <v>ELCA (THAILAND) LIMITED</v>
      </c>
      <c r="D71" s="239"/>
      <c r="E71" s="189" t="str">
        <f>IFERROR(__xludf.DUMMYFUNCTION("""COMPUTED_VALUE"""),"Ju")</f>
        <v>Ju</v>
      </c>
      <c r="F71" s="156" t="str">
        <f>IFERROR(__xludf.DUMMYFUNCTION("""COMPUTED_VALUE"""),"First")</f>
        <v>First</v>
      </c>
      <c r="G71" s="157" t="str">
        <f>IFERROR(__xludf.DUMMYFUNCTION("""COMPUTED_VALUE"""),"Pompam")</f>
        <v>Pompam</v>
      </c>
      <c r="H71" s="157">
        <f>IFERROR(__xludf.DUMMYFUNCTION("""COMPUTED_VALUE"""),0.08)</f>
        <v>0.08</v>
      </c>
      <c r="I71" s="157">
        <f>IFERROR(__xludf.DUMMYFUNCTION("""COMPUTED_VALUE"""),0.0)</f>
        <v>0</v>
      </c>
      <c r="J71" s="157">
        <f>IFERROR(__xludf.DUMMYFUNCTION("""COMPUTED_VALUE"""),0.0)</f>
        <v>0</v>
      </c>
      <c r="K71" s="158">
        <f>IFERROR(__xludf.DUMMYFUNCTION("""COMPUTED_VALUE"""),0.0)</f>
        <v>0</v>
      </c>
      <c r="L71" s="159">
        <f>IFERROR(__xludf.DUMMYFUNCTION("""COMPUTED_VALUE"""),0.0)</f>
        <v>0</v>
      </c>
      <c r="M71" s="3">
        <f>IFERROR(__xludf.DUMMYFUNCTION("""COMPUTED_VALUE"""),15000.0)</f>
        <v>15000</v>
      </c>
      <c r="N71" s="160"/>
      <c r="O71" s="185"/>
      <c r="P71" s="171">
        <f>IFERROR(__xludf.DUMMYFUNCTION("""COMPUTED_VALUE"""),28257.58)</f>
        <v>28257.58</v>
      </c>
      <c r="Q71" s="186">
        <f>IFERROR(__xludf.DUMMYFUNCTION("""COMPUTED_VALUE"""),1978.0306000000003)</f>
        <v>1978.0306</v>
      </c>
      <c r="R71" s="171">
        <f>IFERROR(__xludf.DUMMYFUNCTION("""COMPUTED_VALUE"""),30235.610600000004)</f>
        <v>30235.6106</v>
      </c>
      <c r="S71" s="171">
        <f>IFERROR(__xludf.DUMMYFUNCTION("""COMPUTED_VALUE"""),0.0)</f>
        <v>0</v>
      </c>
      <c r="T71" s="171">
        <f>IFERROR(__xludf.DUMMYFUNCTION("""COMPUTED_VALUE"""),0.0)</f>
        <v>0</v>
      </c>
      <c r="U71" s="171">
        <f>IFERROR(__xludf.DUMMYFUNCTION("""COMPUTED_VALUE"""),0.0)</f>
        <v>0</v>
      </c>
      <c r="V71" s="171">
        <f>IFERROR(__xludf.DUMMYFUNCTION("""COMPUTED_VALUE"""),0.0)</f>
        <v>0</v>
      </c>
      <c r="W71" s="171">
        <f>IFERROR(__xludf.DUMMYFUNCTION("""COMPUTED_VALUE"""),8350.0)</f>
        <v>8350</v>
      </c>
      <c r="X71" s="165">
        <f>IFERROR(__xludf.DUMMYFUNCTION("""COMPUTED_VALUE"""),19907.58)</f>
        <v>19907.58</v>
      </c>
      <c r="Y71" s="165">
        <f>IFERROR(__xludf.DUMMYFUNCTION("""COMPUTED_VALUE"""),0.0)</f>
        <v>0</v>
      </c>
      <c r="Z71" s="165">
        <f>IFERROR(__xludf.DUMMYFUNCTION("""COMPUTED_VALUE"""),240494.75)</f>
        <v>240494.75</v>
      </c>
      <c r="AA71" s="165">
        <f>IFERROR(__xludf.DUMMYFUNCTION("""COMPUTED_VALUE"""),0.0)</f>
        <v>0</v>
      </c>
      <c r="AB71" s="165">
        <f>IFERROR(__xludf.DUMMYFUNCTION("""COMPUTED_VALUE"""),8350.0)</f>
        <v>8350</v>
      </c>
      <c r="AC71" s="186">
        <f>IFERROR(__xludf.DUMMYFUNCTION("""COMPUTED_VALUE"""),0.0)</f>
        <v>0</v>
      </c>
      <c r="AD71" s="167">
        <f>IFERROR(__xludf.DUMMYFUNCTION("""COMPUTED_VALUE"""),248844.75)</f>
        <v>248844.75</v>
      </c>
      <c r="AE71" s="17"/>
      <c r="AF71" s="168"/>
      <c r="AG71" s="167"/>
      <c r="AH71" s="168"/>
      <c r="AI71" s="167"/>
      <c r="AJ71" s="17"/>
      <c r="AK71" s="168"/>
      <c r="AL71" s="169"/>
      <c r="AM71" s="17">
        <f>IFERROR(__xludf.DUMMYFUNCTION("""COMPUTED_VALUE"""),8350.0)</f>
        <v>8350</v>
      </c>
      <c r="AN71" s="168"/>
      <c r="AO71" s="17"/>
      <c r="AP71" s="17"/>
      <c r="AQ71" s="168"/>
      <c r="AR71" s="17"/>
      <c r="AS71" s="17"/>
      <c r="AT71" s="17"/>
      <c r="AU71" s="17"/>
      <c r="AV71" s="173"/>
      <c r="AW71" s="173">
        <f>IFERROR(__xludf.DUMMYFUNCTION("""COMPUTED_VALUE"""),27138.34)</f>
        <v>27138.34</v>
      </c>
      <c r="AX71" s="173">
        <f>IFERROR(__xludf.DUMMYFUNCTION("""COMPUTED_VALUE"""),97469.71)</f>
        <v>97469.71</v>
      </c>
      <c r="AY71" s="17">
        <f>IFERROR(__xludf.DUMMYFUNCTION("""COMPUTED_VALUE"""),115886.7)</f>
        <v>115886.7</v>
      </c>
      <c r="AZ71" s="176"/>
      <c r="BA71" s="311"/>
      <c r="BB71" s="17">
        <f>IFERROR(__xludf.DUMMYFUNCTION("""COMPUTED_VALUE"""),8350.0)</f>
        <v>8350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9"/>
      <c r="BM71" s="180" t="str">
        <f>IFERROR(__xludf.DUMMYFUNCTION("""COMPUTED_VALUE"""),"Approval")</f>
        <v>Approval</v>
      </c>
      <c r="BN71" s="181">
        <f>IFERROR(__xludf.DUMMYFUNCTION("""COMPUTED_VALUE"""),46147.66394041666)</f>
        <v>46147.66394</v>
      </c>
      <c r="BO71" s="2"/>
      <c r="BP71" s="133"/>
      <c r="BQ71" s="133"/>
      <c r="BR71" s="133"/>
      <c r="BS71" s="25"/>
    </row>
    <row r="72" hidden="1">
      <c r="A72" s="151" t="str">
        <f>IFERROR(__xludf.DUMMYFUNCTION("""COMPUTED_VALUE"""),"April'26")</f>
        <v>April'26</v>
      </c>
      <c r="B72" s="188" t="str">
        <f>IFERROR(__xludf.DUMMYFUNCTION("""COMPUTED_VALUE"""),"Bobbi Brown  - Paid Advance")</f>
        <v>Bobbi Brown  - Paid Advance</v>
      </c>
      <c r="C72" s="234" t="str">
        <f>IFERROR(__xludf.DUMMYFUNCTION("""COMPUTED_VALUE"""),"ELCA (THAILAND) LIMITED")</f>
        <v>ELCA (THAILAND) LIMITED</v>
      </c>
      <c r="D72" s="239"/>
      <c r="E72" s="189" t="str">
        <f>IFERROR(__xludf.DUMMYFUNCTION("""COMPUTED_VALUE"""),"Ju")</f>
        <v>Ju</v>
      </c>
      <c r="F72" s="156" t="str">
        <f>IFERROR(__xludf.DUMMYFUNCTION("""COMPUTED_VALUE"""),"First")</f>
        <v>First</v>
      </c>
      <c r="G72" s="157" t="str">
        <f>IFERROR(__xludf.DUMMYFUNCTION("""COMPUTED_VALUE"""),"Pompam")</f>
        <v>Pompam</v>
      </c>
      <c r="H72" s="157">
        <f>IFERROR(__xludf.DUMMYFUNCTION("""COMPUTED_VALUE"""),0.0)</f>
        <v>0</v>
      </c>
      <c r="I72" s="157">
        <f>IFERROR(__xludf.DUMMYFUNCTION("""COMPUTED_VALUE"""),0.0)</f>
        <v>0</v>
      </c>
      <c r="J72" s="157">
        <f>IFERROR(__xludf.DUMMYFUNCTION("""COMPUTED_VALUE"""),0.0)</f>
        <v>0</v>
      </c>
      <c r="K72" s="158">
        <f>IFERROR(__xludf.DUMMYFUNCTION("""COMPUTED_VALUE"""),0.0)</f>
        <v>0</v>
      </c>
      <c r="L72" s="159">
        <f>IFERROR(__xludf.DUMMYFUNCTION("""COMPUTED_VALUE"""),0.0)</f>
        <v>0</v>
      </c>
      <c r="M72" s="3">
        <f>IFERROR(__xludf.DUMMYFUNCTION("""COMPUTED_VALUE"""),0.0)</f>
        <v>0</v>
      </c>
      <c r="N72" s="160"/>
      <c r="O72" s="185"/>
      <c r="P72" s="171">
        <f>IFERROR(__xludf.DUMMYFUNCTION("""COMPUTED_VALUE"""),460000.0)</f>
        <v>460000</v>
      </c>
      <c r="Q72" s="186">
        <f>IFERROR(__xludf.DUMMYFUNCTION("""COMPUTED_VALUE"""),32200.000000000004)</f>
        <v>32200</v>
      </c>
      <c r="R72" s="171">
        <f>IFERROR(__xludf.DUMMYFUNCTION("""COMPUTED_VALUE"""),492200.0)</f>
        <v>492200</v>
      </c>
      <c r="S72" s="171">
        <f>IFERROR(__xludf.DUMMYFUNCTION("""COMPUTED_VALUE"""),0.0)</f>
        <v>0</v>
      </c>
      <c r="T72" s="171">
        <f>IFERROR(__xludf.DUMMYFUNCTION("""COMPUTED_VALUE"""),0.0)</f>
        <v>0</v>
      </c>
      <c r="U72" s="171">
        <f>IFERROR(__xludf.DUMMYFUNCTION("""COMPUTED_VALUE"""),0.0)</f>
        <v>0</v>
      </c>
      <c r="V72" s="171">
        <f>IFERROR(__xludf.DUMMYFUNCTION("""COMPUTED_VALUE"""),460000.0)</f>
        <v>460000</v>
      </c>
      <c r="W72" s="171">
        <f>IFERROR(__xludf.DUMMYFUNCTION("""COMPUTED_VALUE"""),0.0)</f>
        <v>0</v>
      </c>
      <c r="X72" s="165">
        <f>IFERROR(__xludf.DUMMYFUNCTION("""COMPUTED_VALUE"""),0.0)</f>
        <v>0</v>
      </c>
      <c r="Y72" s="165">
        <f>IFERROR(__xludf.DUMMYFUNCTION("""COMPUTED_VALUE"""),417730.83)</f>
        <v>417730.83</v>
      </c>
      <c r="Z72" s="165">
        <f>IFERROR(__xludf.DUMMYFUNCTION("""COMPUTED_VALUE"""),0.0)</f>
        <v>0</v>
      </c>
      <c r="AA72" s="165">
        <f>IFERROR(__xludf.DUMMYFUNCTION("""COMPUTED_VALUE"""),0.0)</f>
        <v>0</v>
      </c>
      <c r="AB72" s="165">
        <f>IFERROR(__xludf.DUMMYFUNCTION("""COMPUTED_VALUE"""),0.0)</f>
        <v>0</v>
      </c>
      <c r="AC72" s="186">
        <f>IFERROR(__xludf.DUMMYFUNCTION("""COMPUTED_VALUE"""),0.0)</f>
        <v>0</v>
      </c>
      <c r="AD72" s="167">
        <f>IFERROR(__xludf.DUMMYFUNCTION("""COMPUTED_VALUE"""),417730.83)</f>
        <v>417730.83</v>
      </c>
      <c r="AE72" s="17"/>
      <c r="AF72" s="168"/>
      <c r="AG72" s="167"/>
      <c r="AH72" s="168"/>
      <c r="AI72" s="167"/>
      <c r="AJ72" s="17"/>
      <c r="AK72" s="170"/>
      <c r="AL72" s="17">
        <f>IFERROR(__xludf.DUMMYFUNCTION("""COMPUTED_VALUE"""),460000.0)</f>
        <v>460000</v>
      </c>
      <c r="AM72" s="17"/>
      <c r="AN72" s="168"/>
      <c r="AO72" s="17"/>
      <c r="AP72" s="17"/>
      <c r="AQ72" s="168"/>
      <c r="AR72" s="173"/>
      <c r="AS72" s="173">
        <f>IFERROR(__xludf.DUMMYFUNCTION("""COMPUTED_VALUE"""),31267.01)</f>
        <v>31267.01</v>
      </c>
      <c r="AT72" s="173">
        <f>IFERROR(__xludf.DUMMYFUNCTION("""COMPUTED_VALUE"""),217016.32)</f>
        <v>217016.32</v>
      </c>
      <c r="AU72" s="173">
        <f>IFERROR(__xludf.DUMMYFUNCTION("""COMPUTED_VALUE"""),8034.19)</f>
        <v>8034.19</v>
      </c>
      <c r="AV72" s="17">
        <f>IFERROR(__xludf.DUMMYFUNCTION("""COMPUTED_VALUE"""),161413.31)</f>
        <v>161413.31</v>
      </c>
      <c r="AW72" s="17"/>
      <c r="AX72" s="17"/>
      <c r="AY72" s="17"/>
      <c r="AZ72" s="176"/>
      <c r="BA72" s="17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9"/>
      <c r="BM72" s="180" t="str">
        <f>IFERROR(__xludf.DUMMYFUNCTION("""COMPUTED_VALUE"""),"Approval")</f>
        <v>Approval</v>
      </c>
      <c r="BN72" s="181">
        <f>IFERROR(__xludf.DUMMYFUNCTION("""COMPUTED_VALUE"""),46147.71106446759)</f>
        <v>46147.71106</v>
      </c>
      <c r="BO72" s="2"/>
      <c r="BP72" s="133"/>
      <c r="BQ72" s="133"/>
      <c r="BR72" s="133"/>
      <c r="BS72" s="25"/>
    </row>
    <row r="73" hidden="1">
      <c r="A73" s="151" t="str">
        <f>IFERROR(__xludf.DUMMYFUNCTION("""COMPUTED_VALUE"""),"April'26")</f>
        <v>April'26</v>
      </c>
      <c r="B73" s="188" t="str">
        <f>IFERROR(__xludf.DUMMYFUNCTION("""COMPUTED_VALUE"""),"Bobbi Brown  - MKT Fee")</f>
        <v>Bobbi Brown  - MKT Fee</v>
      </c>
      <c r="C73" s="234" t="str">
        <f>IFERROR(__xludf.DUMMYFUNCTION("""COMPUTED_VALUE"""),"ELCA (THAILAND) LIMITED")</f>
        <v>ELCA (THAILAND) LIMITED</v>
      </c>
      <c r="D73" s="239"/>
      <c r="E73" s="189" t="str">
        <f>IFERROR(__xludf.DUMMYFUNCTION("""COMPUTED_VALUE"""),"Ju")</f>
        <v>Ju</v>
      </c>
      <c r="F73" s="156" t="str">
        <f>IFERROR(__xludf.DUMMYFUNCTION("""COMPUTED_VALUE"""),"First")</f>
        <v>First</v>
      </c>
      <c r="G73" s="157" t="str">
        <f>IFERROR(__xludf.DUMMYFUNCTION("""COMPUTED_VALUE"""),"Pompam")</f>
        <v>Pompam</v>
      </c>
      <c r="H73" s="157">
        <f>IFERROR(__xludf.DUMMYFUNCTION("""COMPUTED_VALUE"""),0.08)</f>
        <v>0.08</v>
      </c>
      <c r="I73" s="157">
        <f>IFERROR(__xludf.DUMMYFUNCTION("""COMPUTED_VALUE"""),0.0)</f>
        <v>0</v>
      </c>
      <c r="J73" s="157">
        <f>IFERROR(__xludf.DUMMYFUNCTION("""COMPUTED_VALUE"""),0.0)</f>
        <v>0</v>
      </c>
      <c r="K73" s="158">
        <f>IFERROR(__xludf.DUMMYFUNCTION("""COMPUTED_VALUE"""),0.0)</f>
        <v>0</v>
      </c>
      <c r="L73" s="159">
        <f>IFERROR(__xludf.DUMMYFUNCTION("""COMPUTED_VALUE"""),0.0)</f>
        <v>0</v>
      </c>
      <c r="M73" s="3">
        <f>IFERROR(__xludf.DUMMYFUNCTION("""COMPUTED_VALUE"""),15000.0)</f>
        <v>15000</v>
      </c>
      <c r="N73" s="160"/>
      <c r="O73" s="185"/>
      <c r="P73" s="171">
        <f>IFERROR(__xludf.DUMMYFUNCTION("""COMPUTED_VALUE"""),33418.466400000005)</f>
        <v>33418.4664</v>
      </c>
      <c r="Q73" s="186">
        <f>IFERROR(__xludf.DUMMYFUNCTION("""COMPUTED_VALUE"""),2339.2926480000006)</f>
        <v>2339.292648</v>
      </c>
      <c r="R73" s="171">
        <f>IFERROR(__xludf.DUMMYFUNCTION("""COMPUTED_VALUE"""),35757.75904800001)</f>
        <v>35757.75905</v>
      </c>
      <c r="S73" s="171">
        <f>IFERROR(__xludf.DUMMYFUNCTION("""COMPUTED_VALUE"""),0.0)</f>
        <v>0</v>
      </c>
      <c r="T73" s="171">
        <f>IFERROR(__xludf.DUMMYFUNCTION("""COMPUTED_VALUE"""),0.0)</f>
        <v>0</v>
      </c>
      <c r="U73" s="171">
        <f>IFERROR(__xludf.DUMMYFUNCTION("""COMPUTED_VALUE"""),0.0)</f>
        <v>0</v>
      </c>
      <c r="V73" s="171">
        <f>IFERROR(__xludf.DUMMYFUNCTION("""COMPUTED_VALUE"""),0.0)</f>
        <v>0</v>
      </c>
      <c r="W73" s="171">
        <f>IFERROR(__xludf.DUMMYFUNCTION("""COMPUTED_VALUE"""),0.0)</f>
        <v>0</v>
      </c>
      <c r="X73" s="165">
        <f>IFERROR(__xludf.DUMMYFUNCTION("""COMPUTED_VALUE"""),33418.466400000005)</f>
        <v>33418.4664</v>
      </c>
      <c r="Y73" s="165">
        <f>IFERROR(__xludf.DUMMYFUNCTION("""COMPUTED_VALUE"""),417730.83)</f>
        <v>417730.83</v>
      </c>
      <c r="Z73" s="165">
        <f>IFERROR(__xludf.DUMMYFUNCTION("""COMPUTED_VALUE"""),0.0)</f>
        <v>0</v>
      </c>
      <c r="AA73" s="165">
        <f>IFERROR(__xludf.DUMMYFUNCTION("""COMPUTED_VALUE"""),0.0)</f>
        <v>0</v>
      </c>
      <c r="AB73" s="165">
        <f>IFERROR(__xludf.DUMMYFUNCTION("""COMPUTED_VALUE"""),0.0)</f>
        <v>0</v>
      </c>
      <c r="AC73" s="186">
        <f>IFERROR(__xludf.DUMMYFUNCTION("""COMPUTED_VALUE"""),0.0)</f>
        <v>0</v>
      </c>
      <c r="AD73" s="167">
        <f>IFERROR(__xludf.DUMMYFUNCTION("""COMPUTED_VALUE"""),417730.83)</f>
        <v>417730.83</v>
      </c>
      <c r="AE73" s="17"/>
      <c r="AF73" s="168"/>
      <c r="AG73" s="167"/>
      <c r="AH73" s="168"/>
      <c r="AI73" s="167"/>
      <c r="AJ73" s="17"/>
      <c r="AK73" s="168"/>
      <c r="AL73" s="17"/>
      <c r="AM73" s="17"/>
      <c r="AN73" s="168"/>
      <c r="AO73" s="17"/>
      <c r="AP73" s="17"/>
      <c r="AQ73" s="168"/>
      <c r="AR73" s="173"/>
      <c r="AS73" s="173">
        <f>IFERROR(__xludf.DUMMYFUNCTION("""COMPUTED_VALUE"""),31267.01)</f>
        <v>31267.01</v>
      </c>
      <c r="AT73" s="173">
        <f>IFERROR(__xludf.DUMMYFUNCTION("""COMPUTED_VALUE"""),217016.32)</f>
        <v>217016.32</v>
      </c>
      <c r="AU73" s="173">
        <f>IFERROR(__xludf.DUMMYFUNCTION("""COMPUTED_VALUE"""),8034.19)</f>
        <v>8034.19</v>
      </c>
      <c r="AV73" s="17">
        <f>IFERROR(__xludf.DUMMYFUNCTION("""COMPUTED_VALUE"""),161413.31)</f>
        <v>161413.31</v>
      </c>
      <c r="AW73" s="17"/>
      <c r="AX73" s="17"/>
      <c r="AY73" s="17"/>
      <c r="AZ73" s="176"/>
      <c r="BA73" s="17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9"/>
      <c r="BM73" s="180" t="str">
        <f>IFERROR(__xludf.DUMMYFUNCTION("""COMPUTED_VALUE"""),"Approval")</f>
        <v>Approval</v>
      </c>
      <c r="BN73" s="181">
        <f>IFERROR(__xludf.DUMMYFUNCTION("""COMPUTED_VALUE"""),46147.711506875)</f>
        <v>46147.71151</v>
      </c>
      <c r="BO73" s="2"/>
      <c r="BP73" s="133"/>
      <c r="BQ73" s="133"/>
      <c r="BR73" s="133"/>
      <c r="BS73" s="25"/>
    </row>
    <row r="74" hidden="1">
      <c r="A74" s="151" t="str">
        <f>IFERROR(__xludf.DUMMYFUNCTION("""COMPUTED_VALUE"""),"April'26")</f>
        <v>April'26</v>
      </c>
      <c r="B74" s="152" t="str">
        <f>IFERROR(__xludf.DUMMYFUNCTION("""COMPUTED_VALUE"""),"Sealect Tuna")</f>
        <v>Sealect Tuna</v>
      </c>
      <c r="C74" s="234" t="str">
        <f>IFERROR(__xludf.DUMMYFUNCTION("""COMPUTED_VALUE"""),"THAI UNION GROUP PUBLIC COMPANY LIMITED")</f>
        <v>THAI UNION GROUP PUBLIC COMPANY LIMITED</v>
      </c>
      <c r="D74" s="239"/>
      <c r="E74" s="310" t="str">
        <f>IFERROR(__xludf.DUMMYFUNCTION("""COMPUTED_VALUE"""),"Earn")</f>
        <v>Earn</v>
      </c>
      <c r="F74" s="156"/>
      <c r="G74" s="157" t="str">
        <f>IFERROR(__xludf.DUMMYFUNCTION("""COMPUTED_VALUE"""),"Pompam")</f>
        <v>Pompam</v>
      </c>
      <c r="H74" s="157">
        <f>IFERROR(__xludf.DUMMYFUNCTION("""COMPUTED_VALUE"""),0.13)</f>
        <v>0.13</v>
      </c>
      <c r="I74" s="157">
        <f>IFERROR(__xludf.DUMMYFUNCTION("""COMPUTED_VALUE"""),0.0)</f>
        <v>0</v>
      </c>
      <c r="J74" s="157">
        <f>IFERROR(__xludf.DUMMYFUNCTION("""COMPUTED_VALUE"""),0.0)</f>
        <v>0</v>
      </c>
      <c r="K74" s="158">
        <f>IFERROR(__xludf.DUMMYFUNCTION("""COMPUTED_VALUE"""),0.0)</f>
        <v>0</v>
      </c>
      <c r="L74" s="159">
        <f>IFERROR(__xludf.DUMMYFUNCTION("""COMPUTED_VALUE"""),0.0)</f>
        <v>0</v>
      </c>
      <c r="M74" s="3">
        <f>IFERROR(__xludf.DUMMYFUNCTION("""COMPUTED_VALUE"""),30000.0)</f>
        <v>30000</v>
      </c>
      <c r="N74" s="160"/>
      <c r="O74" s="185"/>
      <c r="P74" s="171">
        <f>IFERROR(__xludf.DUMMYFUNCTION("""COMPUTED_VALUE"""),30000.0)</f>
        <v>30000</v>
      </c>
      <c r="Q74" s="186">
        <f>IFERROR(__xludf.DUMMYFUNCTION("""COMPUTED_VALUE"""),2100.0)</f>
        <v>2100</v>
      </c>
      <c r="R74" s="171">
        <f>IFERROR(__xludf.DUMMYFUNCTION("""COMPUTED_VALUE"""),32100.0)</f>
        <v>32100</v>
      </c>
      <c r="S74" s="171">
        <f>IFERROR(__xludf.DUMMYFUNCTION("""COMPUTED_VALUE"""),0.0)</f>
        <v>0</v>
      </c>
      <c r="T74" s="171">
        <f>IFERROR(__xludf.DUMMYFUNCTION("""COMPUTED_VALUE"""),0.0)</f>
        <v>0</v>
      </c>
      <c r="U74" s="171">
        <f>IFERROR(__xludf.DUMMYFUNCTION("""COMPUTED_VALUE"""),0.0)</f>
        <v>0</v>
      </c>
      <c r="V74" s="171">
        <f>IFERROR(__xludf.DUMMYFUNCTION("""COMPUTED_VALUE"""),0.0)</f>
        <v>0</v>
      </c>
      <c r="W74" s="164">
        <f>IFERROR(__xludf.DUMMYFUNCTION("""COMPUTED_VALUE"""),0.0)</f>
        <v>0</v>
      </c>
      <c r="X74" s="165">
        <f>IFERROR(__xludf.DUMMYFUNCTION("""COMPUTED_VALUE"""),30000.0)</f>
        <v>30000</v>
      </c>
      <c r="Y74" s="165">
        <f>IFERROR(__xludf.DUMMYFUNCTION("""COMPUTED_VALUE"""),52636.65)</f>
        <v>52636.65</v>
      </c>
      <c r="Z74" s="165">
        <f>IFERROR(__xludf.DUMMYFUNCTION("""COMPUTED_VALUE"""),16290.92)</f>
        <v>16290.92</v>
      </c>
      <c r="AA74" s="165">
        <f>IFERROR(__xludf.DUMMYFUNCTION("""COMPUTED_VALUE"""),0.0)</f>
        <v>0</v>
      </c>
      <c r="AB74" s="165">
        <f>IFERROR(__xludf.DUMMYFUNCTION("""COMPUTED_VALUE"""),0.0)</f>
        <v>0</v>
      </c>
      <c r="AC74" s="186">
        <f>IFERROR(__xludf.DUMMYFUNCTION("""COMPUTED_VALUE"""),0.0)</f>
        <v>0</v>
      </c>
      <c r="AD74" s="167">
        <f>IFERROR(__xludf.DUMMYFUNCTION("""COMPUTED_VALUE"""),68927.57)</f>
        <v>68927.57</v>
      </c>
      <c r="AE74" s="17"/>
      <c r="AF74" s="168"/>
      <c r="AG74" s="167"/>
      <c r="AH74" s="168"/>
      <c r="AI74" s="167"/>
      <c r="AJ74" s="17"/>
      <c r="AK74" s="168"/>
      <c r="AL74" s="185"/>
      <c r="AM74" s="17">
        <f>IFERROR(__xludf.DUMMYFUNCTION("""COMPUTED_VALUE"""),0.0)</f>
        <v>0</v>
      </c>
      <c r="AN74" s="168"/>
      <c r="AO74" s="17"/>
      <c r="AP74" s="17"/>
      <c r="AQ74" s="168"/>
      <c r="AR74" s="17"/>
      <c r="AS74" s="324"/>
      <c r="AT74" s="225">
        <f>IFERROR(__xludf.DUMMYFUNCTION("""COMPUTED_VALUE"""),35857.19)</f>
        <v>35857.19</v>
      </c>
      <c r="AU74" s="324"/>
      <c r="AV74" s="324">
        <f>IFERROR(__xludf.DUMMYFUNCTION("""COMPUTED_VALUE"""),16779.46)</f>
        <v>16779.46</v>
      </c>
      <c r="AW74" s="324">
        <f>IFERROR(__xludf.DUMMYFUNCTION("""COMPUTED_VALUE"""),4006.69)</f>
        <v>4006.69</v>
      </c>
      <c r="AX74" s="324">
        <f>IFERROR(__xludf.DUMMYFUNCTION("""COMPUTED_VALUE"""),11374.64)</f>
        <v>11374.64</v>
      </c>
      <c r="AY74" s="17">
        <f>IFERROR(__xludf.DUMMYFUNCTION("""COMPUTED_VALUE"""),909.59)</f>
        <v>909.59</v>
      </c>
      <c r="AZ74" s="176"/>
      <c r="BA74" s="17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9"/>
      <c r="BM74" s="180" t="str">
        <f>IFERROR(__xludf.DUMMYFUNCTION("""COMPUTED_VALUE"""),"Approval")</f>
        <v>Approval</v>
      </c>
      <c r="BN74" s="181">
        <f>IFERROR(__xludf.DUMMYFUNCTION("""COMPUTED_VALUE"""),46146.94331949074)</f>
        <v>46146.94332</v>
      </c>
      <c r="BO74" s="2"/>
      <c r="BP74" s="133"/>
      <c r="BQ74" s="133"/>
      <c r="BR74" s="133"/>
      <c r="BS74" s="25"/>
    </row>
    <row r="75" hidden="1">
      <c r="A75" s="278" t="str">
        <f>IFERROR(__xludf.DUMMYFUNCTION("""COMPUTED_VALUE"""),"April'26")</f>
        <v>April'26</v>
      </c>
      <c r="B75" s="279" t="str">
        <f>IFERROR(__xludf.DUMMYFUNCTION("""COMPUTED_VALUE"""),"Total - Services Model")</f>
        <v>Total - Services Model</v>
      </c>
      <c r="C75" s="280"/>
      <c r="D75" s="286"/>
      <c r="E75" s="282"/>
      <c r="F75" s="283"/>
      <c r="G75" s="284"/>
      <c r="H75" s="284"/>
      <c r="I75" s="284"/>
      <c r="J75" s="284"/>
      <c r="K75" s="285"/>
      <c r="L75" s="284"/>
      <c r="M75" s="284"/>
      <c r="N75" s="325"/>
      <c r="O75" s="287"/>
      <c r="P75" s="288">
        <f>IFERROR(__xludf.DUMMYFUNCTION("""COMPUTED_VALUE"""),4454366.861649999)</f>
        <v>4454366.862</v>
      </c>
      <c r="Q75" s="289">
        <f>IFERROR(__xludf.DUMMYFUNCTION("""COMPUTED_VALUE"""),311805.6803155)</f>
        <v>311805.6803</v>
      </c>
      <c r="R75" s="288">
        <f>IFERROR(__xludf.DUMMYFUNCTION("""COMPUTED_VALUE"""),4766172.5419654995)</f>
        <v>4766172.542</v>
      </c>
      <c r="S75" s="288">
        <f>IFERROR(__xludf.DUMMYFUNCTION("""COMPUTED_VALUE"""),0.0)</f>
        <v>0</v>
      </c>
      <c r="T75" s="288">
        <f>IFERROR(__xludf.DUMMYFUNCTION("""COMPUTED_VALUE"""),0.0)</f>
        <v>0</v>
      </c>
      <c r="U75" s="288">
        <f>IFERROR(__xludf.DUMMYFUNCTION("""COMPUTED_VALUE"""),0.0)</f>
        <v>0</v>
      </c>
      <c r="V75" s="288">
        <f>IFERROR(__xludf.DUMMYFUNCTION("""COMPUTED_VALUE"""),0.0)</f>
        <v>0</v>
      </c>
      <c r="W75" s="288">
        <f>IFERROR(__xludf.DUMMYFUNCTION("""COMPUTED_VALUE"""),3338775.66)</f>
        <v>3338775.66</v>
      </c>
      <c r="X75" s="288">
        <f>IFERROR(__xludf.DUMMYFUNCTION("""COMPUTED_VALUE"""),1115591.2016500002)</f>
        <v>1115591.202</v>
      </c>
      <c r="Y75" s="288">
        <f>IFERROR(__xludf.DUMMYFUNCTION("""COMPUTED_VALUE"""),4487136.5)</f>
        <v>4487136.5</v>
      </c>
      <c r="Z75" s="288">
        <f>IFERROR(__xludf.DUMMYFUNCTION("""COMPUTED_VALUE"""),1314341.4700000002)</f>
        <v>1314341.47</v>
      </c>
      <c r="AA75" s="288">
        <f>IFERROR(__xludf.DUMMYFUNCTION("""COMPUTED_VALUE"""),1307959.66)</f>
        <v>1307959.66</v>
      </c>
      <c r="AB75" s="288">
        <f>IFERROR(__xludf.DUMMYFUNCTION("""COMPUTED_VALUE"""),1847777.5999999999)</f>
        <v>1847777.6</v>
      </c>
      <c r="AC75" s="289">
        <f>IFERROR(__xludf.DUMMYFUNCTION("""COMPUTED_VALUE"""),813689.29)</f>
        <v>813689.29</v>
      </c>
      <c r="AD75" s="287">
        <f>IFERROR(__xludf.DUMMYFUNCTION("""COMPUTED_VALUE"""),1.0018876599999998E7)</f>
        <v>10018876.6</v>
      </c>
      <c r="AE75" s="288">
        <f>IFERROR(__xludf.DUMMYFUNCTION("""COMPUTED_VALUE"""),0.0)</f>
        <v>0</v>
      </c>
      <c r="AF75" s="289">
        <f>IFERROR(__xludf.DUMMYFUNCTION("""COMPUTED_VALUE"""),0.0)</f>
        <v>0</v>
      </c>
      <c r="AG75" s="287">
        <f>IFERROR(__xludf.DUMMYFUNCTION("""COMPUTED_VALUE"""),0.0)</f>
        <v>0</v>
      </c>
      <c r="AH75" s="289">
        <f>IFERROR(__xludf.DUMMYFUNCTION("""COMPUTED_VALUE"""),0.0)</f>
        <v>0</v>
      </c>
      <c r="AI75" s="288">
        <f>IFERROR(__xludf.DUMMYFUNCTION("""COMPUTED_VALUE"""),0.0)</f>
        <v>0</v>
      </c>
      <c r="AJ75" s="288">
        <f>IFERROR(__xludf.DUMMYFUNCTION("""COMPUTED_VALUE"""),0.0)</f>
        <v>0</v>
      </c>
      <c r="AK75" s="289">
        <f>IFERROR(__xludf.DUMMYFUNCTION("""COMPUTED_VALUE"""),0.0)</f>
        <v>0</v>
      </c>
      <c r="AL75" s="287">
        <f>IFERROR(__xludf.DUMMYFUNCTION("""COMPUTED_VALUE"""),0.0)</f>
        <v>0</v>
      </c>
      <c r="AM75" s="288">
        <f>IFERROR(__xludf.DUMMYFUNCTION("""COMPUTED_VALUE"""),1822171.2899999998)</f>
        <v>1822171.29</v>
      </c>
      <c r="AN75" s="289">
        <f>IFERROR(__xludf.DUMMYFUNCTION("""COMPUTED_VALUE"""),1166366.07)</f>
        <v>1166366.07</v>
      </c>
      <c r="AO75" s="287">
        <f>IFERROR(__xludf.DUMMYFUNCTION("""COMPUTED_VALUE"""),350238.30000000005)</f>
        <v>350238.3</v>
      </c>
      <c r="AP75" s="288">
        <f>IFERROR(__xludf.DUMMYFUNCTION("""COMPUTED_VALUE"""),0.0)</f>
        <v>0</v>
      </c>
      <c r="AQ75" s="289">
        <f>IFERROR(__xludf.DUMMYFUNCTION("""COMPUTED_VALUE"""),0.0)</f>
        <v>0</v>
      </c>
      <c r="AR75" s="287">
        <f>IFERROR(__xludf.DUMMYFUNCTION("""COMPUTED_VALUE"""),0.0)</f>
        <v>0</v>
      </c>
      <c r="AS75" s="288">
        <f>IFERROR(__xludf.DUMMYFUNCTION("""COMPUTED_VALUE"""),203350.35)</f>
        <v>203350.35</v>
      </c>
      <c r="AT75" s="288">
        <f>IFERROR(__xludf.DUMMYFUNCTION("""COMPUTED_VALUE"""),3616963.88)</f>
        <v>3616963.88</v>
      </c>
      <c r="AU75" s="288">
        <f>IFERROR(__xludf.DUMMYFUNCTION("""COMPUTED_VALUE"""),29359.86)</f>
        <v>29359.86</v>
      </c>
      <c r="AV75" s="288">
        <f>IFERROR(__xludf.DUMMYFUNCTION("""COMPUTED_VALUE"""),637462.4099999999)</f>
        <v>637462.41</v>
      </c>
      <c r="AW75" s="288">
        <f>IFERROR(__xludf.DUMMYFUNCTION("""COMPUTED_VALUE"""),737355.4900000001)</f>
        <v>737355.49</v>
      </c>
      <c r="AX75" s="288">
        <f>IFERROR(__xludf.DUMMYFUNCTION("""COMPUTED_VALUE"""),422227.16)</f>
        <v>422227.16</v>
      </c>
      <c r="AY75" s="288">
        <f>IFERROR(__xludf.DUMMYFUNCTION("""COMPUTED_VALUE"""),154758.82)</f>
        <v>154758.82</v>
      </c>
      <c r="AZ75" s="291">
        <f>IFERROR(__xludf.DUMMYFUNCTION("""COMPUTED_VALUE"""),0.0)</f>
        <v>0</v>
      </c>
      <c r="BA75" s="292">
        <f>IFERROR(__xludf.DUMMYFUNCTION("""COMPUTED_VALUE"""),0.0)</f>
        <v>0</v>
      </c>
      <c r="BB75" s="288">
        <f>IFERROR(__xludf.DUMMYFUNCTION("""COMPUTED_VALUE"""),452910.94000000006)</f>
        <v>452910.94</v>
      </c>
      <c r="BC75" s="288">
        <f>IFERROR(__xludf.DUMMYFUNCTION("""COMPUTED_VALUE"""),938012.69)</f>
        <v>938012.69</v>
      </c>
      <c r="BD75" s="288">
        <f>IFERROR(__xludf.DUMMYFUNCTION("""COMPUTED_VALUE"""),0.0)</f>
        <v>0</v>
      </c>
      <c r="BE75" s="288">
        <f>IFERROR(__xludf.DUMMYFUNCTION("""COMPUTED_VALUE"""),493974.63999999996)</f>
        <v>493974.64</v>
      </c>
      <c r="BF75" s="288">
        <f>IFERROR(__xludf.DUMMYFUNCTION("""COMPUTED_VALUE"""),0.0)</f>
        <v>0</v>
      </c>
      <c r="BG75" s="288">
        <f>IFERROR(__xludf.DUMMYFUNCTION("""COMPUTED_VALUE"""),1103193.68)</f>
        <v>1103193.68</v>
      </c>
      <c r="BH75" s="288">
        <f>IFERROR(__xludf.DUMMYFUNCTION("""COMPUTED_VALUE"""),168715.31)</f>
        <v>168715.31</v>
      </c>
      <c r="BI75" s="288">
        <f>IFERROR(__xludf.DUMMYFUNCTION("""COMPUTED_VALUE"""),36050.670000000006)</f>
        <v>36050.67</v>
      </c>
      <c r="BJ75" s="288">
        <f>IFERROR(__xludf.DUMMYFUNCTION("""COMPUTED_VALUE"""),247972.08)</f>
        <v>247972.08</v>
      </c>
      <c r="BK75" s="288">
        <f>IFERROR(__xludf.DUMMYFUNCTION("""COMPUTED_VALUE"""),0.0)</f>
        <v>0</v>
      </c>
      <c r="BL75" s="160">
        <f>IFERROR(__xludf.DUMMYFUNCTION("""COMPUTED_VALUE"""),813689.29)</f>
        <v>813689.29</v>
      </c>
      <c r="BM75" s="2"/>
      <c r="BN75" s="2"/>
      <c r="BO75" s="2"/>
      <c r="BP75" s="133"/>
      <c r="BQ75" s="133"/>
      <c r="BR75" s="133"/>
      <c r="BS75" s="25"/>
    </row>
    <row r="76" hidden="1">
      <c r="A76" s="134" t="str">
        <f>IFERROR(__xludf.DUMMYFUNCTION("""COMPUTED_VALUE"""),"April'26")</f>
        <v>April'26</v>
      </c>
      <c r="B76" s="326" t="str">
        <f>IFERROR(__xludf.DUMMYFUNCTION("""COMPUTED_VALUE"""),"Add-on Services")</f>
        <v>Add-on Services</v>
      </c>
      <c r="C76" s="135"/>
      <c r="D76" s="137"/>
      <c r="E76" s="138"/>
      <c r="F76" s="139"/>
      <c r="G76" s="140"/>
      <c r="H76" s="141"/>
      <c r="I76" s="141"/>
      <c r="J76" s="141"/>
      <c r="K76" s="142"/>
      <c r="L76" s="141"/>
      <c r="M76" s="141"/>
      <c r="N76" s="143"/>
      <c r="O76" s="144"/>
      <c r="P76" s="141"/>
      <c r="Q76" s="142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6"/>
      <c r="AD76" s="143"/>
      <c r="AE76" s="145"/>
      <c r="AF76" s="146"/>
      <c r="AG76" s="143"/>
      <c r="AH76" s="146"/>
      <c r="AI76" s="141"/>
      <c r="AJ76" s="141"/>
      <c r="AK76" s="142"/>
      <c r="AL76" s="143"/>
      <c r="AM76" s="145"/>
      <c r="AN76" s="146"/>
      <c r="AO76" s="145"/>
      <c r="AP76" s="147"/>
      <c r="AQ76" s="146"/>
      <c r="AR76" s="145"/>
      <c r="AS76" s="145"/>
      <c r="AT76" s="145"/>
      <c r="AU76" s="145"/>
      <c r="AV76" s="145"/>
      <c r="AW76" s="145"/>
      <c r="AX76" s="145"/>
      <c r="AY76" s="145"/>
      <c r="AZ76" s="148"/>
      <c r="BA76" s="149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95"/>
      <c r="BM76" s="2"/>
      <c r="BN76" s="2"/>
      <c r="BO76" s="133"/>
      <c r="BP76" s="133"/>
      <c r="BQ76" s="2"/>
      <c r="BR76" s="34"/>
      <c r="BS76" s="25"/>
    </row>
    <row r="77" hidden="1">
      <c r="A77" s="151" t="str">
        <f>IFERROR(__xludf.DUMMYFUNCTION("""COMPUTED_VALUE"""),"April'26")</f>
        <v>April'26</v>
      </c>
      <c r="B77" s="229" t="str">
        <f>IFERROR(__xludf.DUMMYFUNCTION("""COMPUTED_VALUE"""),"Under Armour Tiktok")</f>
        <v>Under Armour Tiktok</v>
      </c>
      <c r="C77" s="327" t="str">
        <f>IFERROR(__xludf.DUMMYFUNCTION("""COMPUTED_VALUE"""),"5757 UA Sport (Thailand) Co., Ltd.")</f>
        <v>5757 UA Sport (Thailand) Co., Ltd.</v>
      </c>
      <c r="D77" s="219"/>
      <c r="E77" s="219" t="str">
        <f>IFERROR(__xludf.DUMMYFUNCTION("""COMPUTED_VALUE"""),"Vida")</f>
        <v>Vida</v>
      </c>
      <c r="F77" s="239" t="str">
        <f>IFERROR(__xludf.DUMMYFUNCTION("""COMPUTED_VALUE"""),"Jan")</f>
        <v>Jan</v>
      </c>
      <c r="G77" s="297" t="str">
        <f>IFERROR(__xludf.DUMMYFUNCTION("""COMPUTED_VALUE"""),"JJ")</f>
        <v>JJ</v>
      </c>
      <c r="H77" s="220">
        <f>IFERROR(__xludf.DUMMYFUNCTION("""COMPUTED_VALUE"""),0.12)</f>
        <v>0.12</v>
      </c>
      <c r="I77" s="220">
        <f>IFERROR(__xludf.DUMMYFUNCTION("""COMPUTED_VALUE"""),0.0)</f>
        <v>0</v>
      </c>
      <c r="J77" s="220">
        <f>IFERROR(__xludf.DUMMYFUNCTION("""COMPUTED_VALUE"""),0.0)</f>
        <v>0</v>
      </c>
      <c r="K77" s="270">
        <f>IFERROR(__xludf.DUMMYFUNCTION("""COMPUTED_VALUE"""),0.0)</f>
        <v>0</v>
      </c>
      <c r="L77" s="221">
        <f>IFERROR(__xludf.DUMMYFUNCTION("""COMPUTED_VALUE"""),0.0)</f>
        <v>0</v>
      </c>
      <c r="M77" s="3">
        <f>IFERROR(__xludf.DUMMYFUNCTION("""COMPUTED_VALUE"""),0.0)</f>
        <v>0</v>
      </c>
      <c r="N77" s="160"/>
      <c r="O77" s="185"/>
      <c r="P77" s="171">
        <f>IFERROR(__xludf.DUMMYFUNCTION("""COMPUTED_VALUE"""),5502.48)</f>
        <v>5502.48</v>
      </c>
      <c r="Q77" s="186">
        <f>IFERROR(__xludf.DUMMYFUNCTION("""COMPUTED_VALUE"""),385.1736)</f>
        <v>385.1736</v>
      </c>
      <c r="R77" s="171">
        <f>IFERROR(__xludf.DUMMYFUNCTION("""COMPUTED_VALUE"""),5887.6536)</f>
        <v>5887.6536</v>
      </c>
      <c r="S77" s="171">
        <f>IFERROR(__xludf.DUMMYFUNCTION("""COMPUTED_VALUE"""),0.0)</f>
        <v>0</v>
      </c>
      <c r="T77" s="171">
        <f>IFERROR(__xludf.DUMMYFUNCTION("""COMPUTED_VALUE"""),0.0)</f>
        <v>0</v>
      </c>
      <c r="U77" s="171">
        <f>IFERROR(__xludf.DUMMYFUNCTION("""COMPUTED_VALUE"""),0.0)</f>
        <v>0</v>
      </c>
      <c r="V77" s="171">
        <f>IFERROR(__xludf.DUMMYFUNCTION("""COMPUTED_VALUE"""),0.0)</f>
        <v>0</v>
      </c>
      <c r="W77" s="171">
        <f>IFERROR(__xludf.DUMMYFUNCTION("""COMPUTED_VALUE"""),5502.48)</f>
        <v>5502.48</v>
      </c>
      <c r="X77" s="165">
        <f>IFERROR(__xludf.DUMMYFUNCTION("""COMPUTED_VALUE"""),0.0)</f>
        <v>0</v>
      </c>
      <c r="Y77" s="165">
        <f>IFERROR(__xludf.DUMMYFUNCTION("""COMPUTED_VALUE"""),0.0)</f>
        <v>0</v>
      </c>
      <c r="Z77" s="165">
        <f>IFERROR(__xludf.DUMMYFUNCTION("""COMPUTED_VALUE"""),0.0)</f>
        <v>0</v>
      </c>
      <c r="AA77" s="165">
        <f>IFERROR(__xludf.DUMMYFUNCTION("""COMPUTED_VALUE"""),5502.48)</f>
        <v>5502.48</v>
      </c>
      <c r="AB77" s="165">
        <f>IFERROR(__xludf.DUMMYFUNCTION("""COMPUTED_VALUE"""),0.0)</f>
        <v>0</v>
      </c>
      <c r="AC77" s="186">
        <f>IFERROR(__xludf.DUMMYFUNCTION("""COMPUTED_VALUE"""),0.0)</f>
        <v>0</v>
      </c>
      <c r="AD77" s="167">
        <f>IFERROR(__xludf.DUMMYFUNCTION("""COMPUTED_VALUE"""),5502.48)</f>
        <v>5502.48</v>
      </c>
      <c r="AE77" s="17"/>
      <c r="AF77" s="168"/>
      <c r="AG77" s="167"/>
      <c r="AH77" s="168"/>
      <c r="AI77" s="17"/>
      <c r="AJ77" s="17"/>
      <c r="AK77" s="168"/>
      <c r="AL77" s="17"/>
      <c r="AM77" s="171"/>
      <c r="AN77" s="168">
        <f>IFERROR(__xludf.DUMMYFUNCTION("""COMPUTED_VALUE"""),5502.48)</f>
        <v>5502.48</v>
      </c>
      <c r="AO77" s="17"/>
      <c r="AP77" s="277"/>
      <c r="AQ77" s="168"/>
      <c r="AR77" s="17"/>
      <c r="AS77" s="17"/>
      <c r="AT77" s="17"/>
      <c r="AU77" s="17"/>
      <c r="AV77" s="17"/>
      <c r="AW77" s="17"/>
      <c r="AX77" s="17"/>
      <c r="AY77" s="17"/>
      <c r="AZ77" s="176"/>
      <c r="BA77" s="17"/>
      <c r="BB77" s="17"/>
      <c r="BC77" s="17"/>
      <c r="BD77" s="17"/>
      <c r="BE77" s="17"/>
      <c r="BF77" s="173"/>
      <c r="BG77" s="133">
        <f>IFERROR(__xludf.DUMMYFUNCTION("""COMPUTED_VALUE"""),5502.48)</f>
        <v>5502.48</v>
      </c>
      <c r="BH77" s="133"/>
      <c r="BI77" s="17"/>
      <c r="BJ77" s="17"/>
      <c r="BK77" s="168"/>
      <c r="BL77" s="188"/>
      <c r="BM77" s="180" t="str">
        <f>IFERROR(__xludf.DUMMYFUNCTION("""COMPUTED_VALUE"""),"Approval")</f>
        <v>Approval</v>
      </c>
      <c r="BN77" s="133">
        <f>IFERROR(__xludf.DUMMYFUNCTION("""COMPUTED_VALUE"""),46146.94331949074)</f>
        <v>46146.94332</v>
      </c>
      <c r="BO77" s="133"/>
      <c r="BP77" s="2"/>
      <c r="BQ77" s="2"/>
      <c r="BR77" s="34"/>
      <c r="BS77" s="25"/>
    </row>
    <row r="78" hidden="1">
      <c r="A78" s="179"/>
      <c r="B78" s="133" t="str">
        <f>IFERROR(__xludf.DUMMYFUNCTION("""COMPUTED_VALUE"""),"TikTok")</f>
        <v>TikTok</v>
      </c>
      <c r="C78" s="328"/>
      <c r="D78" s="2"/>
      <c r="E78" s="237"/>
      <c r="F78" s="2"/>
      <c r="G78" s="3"/>
      <c r="H78" s="3"/>
      <c r="I78" s="3"/>
      <c r="J78" s="3"/>
      <c r="K78" s="329"/>
      <c r="L78" s="3"/>
      <c r="M78" s="3"/>
      <c r="N78" s="160"/>
      <c r="O78" s="160"/>
      <c r="P78" s="133"/>
      <c r="Q78" s="172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72"/>
      <c r="AD78" s="167"/>
      <c r="AE78" s="17"/>
      <c r="AF78" s="168"/>
      <c r="AG78" s="167"/>
      <c r="AH78" s="168"/>
      <c r="AI78" s="17"/>
      <c r="AJ78" s="17"/>
      <c r="AK78" s="168"/>
      <c r="AL78" s="330"/>
      <c r="AM78" s="17" t="str">
        <f>IFERROR(__xludf.DUMMYFUNCTION("""COMPUTED_VALUE"""),"แนสีทื ฤ๋")</f>
        <v>แนสีทื ฤ๋</v>
      </c>
      <c r="AN78" s="168"/>
      <c r="AO78" s="17"/>
      <c r="AP78" s="17"/>
      <c r="AQ78" s="168"/>
      <c r="AR78" s="17"/>
      <c r="AS78" s="17"/>
      <c r="AT78" s="17"/>
      <c r="AU78" s="17"/>
      <c r="AV78" s="17"/>
      <c r="AW78" s="17"/>
      <c r="AX78" s="17"/>
      <c r="AY78" s="17"/>
      <c r="AZ78" s="176"/>
      <c r="BA78" s="17"/>
      <c r="BB78" s="17"/>
      <c r="BC78" s="17"/>
      <c r="BD78" s="17"/>
      <c r="BE78" s="17"/>
      <c r="BF78" s="17"/>
      <c r="BG78" s="17"/>
      <c r="BH78" s="17"/>
      <c r="BI78" s="17"/>
      <c r="BJ78" s="133"/>
      <c r="BK78" s="168"/>
      <c r="BL78" s="2"/>
      <c r="BM78" s="2"/>
      <c r="BN78" s="2"/>
      <c r="BO78" s="2"/>
      <c r="BP78" s="2"/>
      <c r="BQ78" s="2"/>
      <c r="BR78" s="34"/>
      <c r="BS78" s="25"/>
    </row>
    <row r="79" hidden="1">
      <c r="A79" s="278" t="str">
        <f>IFERROR(__xludf.DUMMYFUNCTION("""COMPUTED_VALUE"""),"April'26")</f>
        <v>April'26</v>
      </c>
      <c r="B79" s="290" t="str">
        <f>IFERROR(__xludf.DUMMYFUNCTION("""COMPUTED_VALUE"""),"Total - Add-on Services")</f>
        <v>Total - Add-on Services</v>
      </c>
      <c r="C79" s="280"/>
      <c r="D79" s="286"/>
      <c r="E79" s="282"/>
      <c r="F79" s="283"/>
      <c r="G79" s="284"/>
      <c r="H79" s="284"/>
      <c r="I79" s="284"/>
      <c r="J79" s="284"/>
      <c r="K79" s="285"/>
      <c r="L79" s="284"/>
      <c r="M79" s="284"/>
      <c r="N79" s="325"/>
      <c r="O79" s="287"/>
      <c r="P79" s="288">
        <f>IFERROR(__xludf.DUMMYFUNCTION("""COMPUTED_VALUE"""),5502.48)</f>
        <v>5502.48</v>
      </c>
      <c r="Q79" s="288">
        <f>IFERROR(__xludf.DUMMYFUNCTION("""COMPUTED_VALUE"""),385.1736)</f>
        <v>385.1736</v>
      </c>
      <c r="R79" s="287">
        <f>IFERROR(__xludf.DUMMYFUNCTION("""COMPUTED_VALUE"""),5887.6536)</f>
        <v>5887.6536</v>
      </c>
      <c r="S79" s="288">
        <f>IFERROR(__xludf.DUMMYFUNCTION("""COMPUTED_VALUE"""),0.0)</f>
        <v>0</v>
      </c>
      <c r="T79" s="288">
        <f>IFERROR(__xludf.DUMMYFUNCTION("""COMPUTED_VALUE"""),0.0)</f>
        <v>0</v>
      </c>
      <c r="U79" s="288">
        <f>IFERROR(__xludf.DUMMYFUNCTION("""COMPUTED_VALUE"""),0.0)</f>
        <v>0</v>
      </c>
      <c r="V79" s="288">
        <f>IFERROR(__xludf.DUMMYFUNCTION("""COMPUTED_VALUE"""),0.0)</f>
        <v>0</v>
      </c>
      <c r="W79" s="288">
        <f>IFERROR(__xludf.DUMMYFUNCTION("""COMPUTED_VALUE"""),5502.48)</f>
        <v>5502.48</v>
      </c>
      <c r="X79" s="288">
        <f>IFERROR(__xludf.DUMMYFUNCTION("""COMPUTED_VALUE"""),0.0)</f>
        <v>0</v>
      </c>
      <c r="Y79" s="288">
        <f>IFERROR(__xludf.DUMMYFUNCTION("""COMPUTED_VALUE"""),0.0)</f>
        <v>0</v>
      </c>
      <c r="Z79" s="288">
        <f>IFERROR(__xludf.DUMMYFUNCTION("""COMPUTED_VALUE"""),0.0)</f>
        <v>0</v>
      </c>
      <c r="AA79" s="288">
        <f>IFERROR(__xludf.DUMMYFUNCTION("""COMPUTED_VALUE"""),5502.48)</f>
        <v>5502.48</v>
      </c>
      <c r="AB79" s="288">
        <f>IFERROR(__xludf.DUMMYFUNCTION("""COMPUTED_VALUE"""),0.0)</f>
        <v>0</v>
      </c>
      <c r="AC79" s="289">
        <f>IFERROR(__xludf.DUMMYFUNCTION("""COMPUTED_VALUE"""),0.0)</f>
        <v>0</v>
      </c>
      <c r="AD79" s="287">
        <f>IFERROR(__xludf.DUMMYFUNCTION("""COMPUTED_VALUE"""),5502.48)</f>
        <v>5502.48</v>
      </c>
      <c r="AE79" s="288">
        <f>IFERROR(__xludf.DUMMYFUNCTION("""COMPUTED_VALUE"""),0.0)</f>
        <v>0</v>
      </c>
      <c r="AF79" s="289">
        <f>IFERROR(__xludf.DUMMYFUNCTION("""COMPUTED_VALUE"""),0.0)</f>
        <v>0</v>
      </c>
      <c r="AG79" s="287">
        <f>IFERROR(__xludf.DUMMYFUNCTION("""COMPUTED_VALUE"""),0.0)</f>
        <v>0</v>
      </c>
      <c r="AH79" s="289">
        <f>IFERROR(__xludf.DUMMYFUNCTION("""COMPUTED_VALUE"""),0.0)</f>
        <v>0</v>
      </c>
      <c r="AI79" s="288">
        <f>IFERROR(__xludf.DUMMYFUNCTION("""COMPUTED_VALUE"""),0.0)</f>
        <v>0</v>
      </c>
      <c r="AJ79" s="288">
        <f>IFERROR(__xludf.DUMMYFUNCTION("""COMPUTED_VALUE"""),0.0)</f>
        <v>0</v>
      </c>
      <c r="AK79" s="289">
        <f>IFERROR(__xludf.DUMMYFUNCTION("""COMPUTED_VALUE"""),0.0)</f>
        <v>0</v>
      </c>
      <c r="AL79" s="287">
        <f>IFERROR(__xludf.DUMMYFUNCTION("""COMPUTED_VALUE"""),0.0)</f>
        <v>0</v>
      </c>
      <c r="AM79" s="331">
        <f>IFERROR(__xludf.DUMMYFUNCTION("""COMPUTED_VALUE"""),0.0)</f>
        <v>0</v>
      </c>
      <c r="AN79" s="289">
        <f>IFERROR(__xludf.DUMMYFUNCTION("""COMPUTED_VALUE"""),5502.48)</f>
        <v>5502.48</v>
      </c>
      <c r="AO79" s="287">
        <f>IFERROR(__xludf.DUMMYFUNCTION("""COMPUTED_VALUE"""),0.0)</f>
        <v>0</v>
      </c>
      <c r="AP79" s="288">
        <f>IFERROR(__xludf.DUMMYFUNCTION("""COMPUTED_VALUE"""),0.0)</f>
        <v>0</v>
      </c>
      <c r="AQ79" s="289">
        <f>IFERROR(__xludf.DUMMYFUNCTION("""COMPUTED_VALUE"""),0.0)</f>
        <v>0</v>
      </c>
      <c r="AR79" s="287">
        <f>IFERROR(__xludf.DUMMYFUNCTION("""COMPUTED_VALUE"""),0.0)</f>
        <v>0</v>
      </c>
      <c r="AS79" s="288">
        <f>IFERROR(__xludf.DUMMYFUNCTION("""COMPUTED_VALUE"""),0.0)</f>
        <v>0</v>
      </c>
      <c r="AT79" s="288">
        <f>IFERROR(__xludf.DUMMYFUNCTION("""COMPUTED_VALUE"""),0.0)</f>
        <v>0</v>
      </c>
      <c r="AU79" s="288">
        <f>IFERROR(__xludf.DUMMYFUNCTION("""COMPUTED_VALUE"""),0.0)</f>
        <v>0</v>
      </c>
      <c r="AV79" s="288">
        <f>IFERROR(__xludf.DUMMYFUNCTION("""COMPUTED_VALUE"""),0.0)</f>
        <v>0</v>
      </c>
      <c r="AW79" s="288">
        <f>IFERROR(__xludf.DUMMYFUNCTION("""COMPUTED_VALUE"""),0.0)</f>
        <v>0</v>
      </c>
      <c r="AX79" s="288">
        <f>IFERROR(__xludf.DUMMYFUNCTION("""COMPUTED_VALUE"""),0.0)</f>
        <v>0</v>
      </c>
      <c r="AY79" s="288">
        <f>IFERROR(__xludf.DUMMYFUNCTION("""COMPUTED_VALUE"""),0.0)</f>
        <v>0</v>
      </c>
      <c r="AZ79" s="291">
        <f>IFERROR(__xludf.DUMMYFUNCTION("""COMPUTED_VALUE"""),0.0)</f>
        <v>0</v>
      </c>
      <c r="BA79" s="288">
        <f>IFERROR(__xludf.DUMMYFUNCTION("""COMPUTED_VALUE"""),0.0)</f>
        <v>0</v>
      </c>
      <c r="BB79" s="288">
        <f>IFERROR(__xludf.DUMMYFUNCTION("""COMPUTED_VALUE"""),0.0)</f>
        <v>0</v>
      </c>
      <c r="BC79" s="288">
        <f>IFERROR(__xludf.DUMMYFUNCTION("""COMPUTED_VALUE"""),0.0)</f>
        <v>0</v>
      </c>
      <c r="BD79" s="288">
        <f>IFERROR(__xludf.DUMMYFUNCTION("""COMPUTED_VALUE"""),0.0)</f>
        <v>0</v>
      </c>
      <c r="BE79" s="288">
        <f>IFERROR(__xludf.DUMMYFUNCTION("""COMPUTED_VALUE"""),0.0)</f>
        <v>0</v>
      </c>
      <c r="BF79" s="288">
        <f>IFERROR(__xludf.DUMMYFUNCTION("""COMPUTED_VALUE"""),0.0)</f>
        <v>0</v>
      </c>
      <c r="BG79" s="288">
        <f>IFERROR(__xludf.DUMMYFUNCTION("""COMPUTED_VALUE"""),5502.48)</f>
        <v>5502.48</v>
      </c>
      <c r="BH79" s="288">
        <f>IFERROR(__xludf.DUMMYFUNCTION("""COMPUTED_VALUE"""),0.0)</f>
        <v>0</v>
      </c>
      <c r="BI79" s="288">
        <f>IFERROR(__xludf.DUMMYFUNCTION("""COMPUTED_VALUE"""),0.0)</f>
        <v>0</v>
      </c>
      <c r="BJ79" s="288">
        <f>IFERROR(__xludf.DUMMYFUNCTION("""COMPUTED_VALUE"""),0.0)</f>
        <v>0</v>
      </c>
      <c r="BK79" s="289">
        <f>IFERROR(__xludf.DUMMYFUNCTION("""COMPUTED_VALUE"""),0.0)</f>
        <v>0</v>
      </c>
      <c r="BL79" s="133">
        <f>IFERROR(__xludf.DUMMYFUNCTION("""COMPUTED_VALUE"""),0.0)</f>
        <v>0</v>
      </c>
      <c r="BM79" s="2"/>
      <c r="BN79" s="2"/>
      <c r="BO79" s="2"/>
      <c r="BP79" s="2"/>
      <c r="BQ79" s="2"/>
      <c r="BR79" s="34"/>
      <c r="BS79" s="25"/>
    </row>
    <row r="80" hidden="1">
      <c r="A80" s="332" t="str">
        <f>IFERROR(__xludf.DUMMYFUNCTION("""COMPUTED_VALUE"""),"April'26")</f>
        <v>April'26</v>
      </c>
      <c r="B80" s="333" t="str">
        <f>IFERROR(__xludf.DUMMYFUNCTION("""COMPUTED_VALUE"""),"Grand Total (THB)")</f>
        <v>Grand Total (THB)</v>
      </c>
      <c r="C80" s="334"/>
      <c r="D80" s="335"/>
      <c r="E80" s="333"/>
      <c r="F80" s="336"/>
      <c r="G80" s="337"/>
      <c r="H80" s="337"/>
      <c r="I80" s="337"/>
      <c r="J80" s="337"/>
      <c r="K80" s="338"/>
      <c r="L80" s="337"/>
      <c r="M80" s="337"/>
      <c r="N80" s="339"/>
      <c r="O80" s="340"/>
      <c r="P80" s="341">
        <f>IFERROR(__xludf.DUMMYFUNCTION("""COMPUTED_VALUE"""),1.945915173183271E7)</f>
        <v>19459151.73</v>
      </c>
      <c r="Q80" s="342">
        <f>IFERROR(__xludf.DUMMYFUNCTION("""COMPUTED_VALUE"""),1362140.6212282896)</f>
        <v>1362140.621</v>
      </c>
      <c r="R80" s="340">
        <f>IFERROR(__xludf.DUMMYFUNCTION("""COMPUTED_VALUE"""),2.0112928080149E7)</f>
        <v>20112928.08</v>
      </c>
      <c r="S80" s="343">
        <f>IFERROR(__xludf.DUMMYFUNCTION("""COMPUTED_VALUE"""),34815.23600373831)</f>
        <v>34815.236</v>
      </c>
      <c r="T80" s="343">
        <f>IFERROR(__xludf.DUMMYFUNCTION("""COMPUTED_VALUE"""),0.0)</f>
        <v>0</v>
      </c>
      <c r="U80" s="343">
        <f>IFERROR(__xludf.DUMMYFUNCTION("""COMPUTED_VALUE"""),2080006.5099999998)</f>
        <v>2080006.51</v>
      </c>
      <c r="V80" s="343">
        <f>IFERROR(__xludf.DUMMYFUNCTION("""COMPUTED_VALUE"""),3655860.0)</f>
        <v>3655860</v>
      </c>
      <c r="W80" s="343">
        <f>IFERROR(__xludf.DUMMYFUNCTION("""COMPUTED_VALUE"""),1.134969902953271E7)</f>
        <v>11349699.03</v>
      </c>
      <c r="X80" s="343">
        <f>IFERROR(__xludf.DUMMYFUNCTION("""COMPUTED_VALUE"""),2648586.1922999998)</f>
        <v>2648586.192</v>
      </c>
      <c r="Y80" s="343">
        <f>IFERROR(__xludf.DUMMYFUNCTION("""COMPUTED_VALUE"""),1.392743973E7)</f>
        <v>13927439.73</v>
      </c>
      <c r="Z80" s="343">
        <f>IFERROR(__xludf.DUMMYFUNCTION("""COMPUTED_VALUE"""),3602969.8800000004)</f>
        <v>3602969.88</v>
      </c>
      <c r="AA80" s="343">
        <f>IFERROR(__xludf.DUMMYFUNCTION("""COMPUTED_VALUE"""),6119459.5)</f>
        <v>6119459.5</v>
      </c>
      <c r="AB80" s="343">
        <f>IFERROR(__xludf.DUMMYFUNCTION("""COMPUTED_VALUE"""),2463517.11)</f>
        <v>2463517.11</v>
      </c>
      <c r="AC80" s="344">
        <f>IFERROR(__xludf.DUMMYFUNCTION("""COMPUTED_VALUE"""),840477.06)</f>
        <v>840477.06</v>
      </c>
      <c r="AD80" s="340">
        <f>IFERROR(__xludf.DUMMYFUNCTION("""COMPUTED_VALUE"""),2.9455392919999994E7)</f>
        <v>29455392.92</v>
      </c>
      <c r="AE80" s="343">
        <f>IFERROR(__xludf.DUMMYFUNCTION("""COMPUTED_VALUE"""),0.0)</f>
        <v>0</v>
      </c>
      <c r="AF80" s="344">
        <f>IFERROR(__xludf.DUMMYFUNCTION("""COMPUTED_VALUE"""),0.0)</f>
        <v>0</v>
      </c>
      <c r="AG80" s="340">
        <f>IFERROR(__xludf.DUMMYFUNCTION("""COMPUTED_VALUE"""),0.0)</f>
        <v>0</v>
      </c>
      <c r="AH80" s="344">
        <f>IFERROR(__xludf.DUMMYFUNCTION("""COMPUTED_VALUE"""),757530.09)</f>
        <v>757530.09</v>
      </c>
      <c r="AI80" s="341">
        <f>IFERROR(__xludf.DUMMYFUNCTION("""COMPUTED_VALUE"""),1322476.42)</f>
        <v>1322476.42</v>
      </c>
      <c r="AJ80" s="343">
        <f>IFERROR(__xludf.DUMMYFUNCTION("""COMPUTED_VALUE"""),138860.0)</f>
        <v>138860</v>
      </c>
      <c r="AK80" s="344">
        <f>IFERROR(__xludf.DUMMYFUNCTION("""COMPUTED_VALUE"""),0.0)</f>
        <v>0</v>
      </c>
      <c r="AL80" s="340">
        <f>IFERROR(__xludf.DUMMYFUNCTION("""COMPUTED_VALUE"""),3517000.0)</f>
        <v>3517000</v>
      </c>
      <c r="AM80" s="345">
        <f>IFERROR(__xludf.DUMMYFUNCTION("""COMPUTED_VALUE"""),2400315.8)</f>
        <v>2400315.8</v>
      </c>
      <c r="AN80" s="342">
        <f>IFERROR(__xludf.DUMMYFUNCTION("""COMPUTED_VALUE"""),5942746.970000001)</f>
        <v>5942746.97</v>
      </c>
      <c r="AO80" s="340">
        <f>IFERROR(__xludf.DUMMYFUNCTION("""COMPUTED_VALUE"""),377026.07000000007)</f>
        <v>377026.07</v>
      </c>
      <c r="AP80" s="343">
        <f>IFERROR(__xludf.DUMMYFUNCTION("""COMPUTED_VALUE"""),443588.32953271025)</f>
        <v>443588.3295</v>
      </c>
      <c r="AQ80" s="344">
        <f>IFERROR(__xludf.DUMMYFUNCTION("""COMPUTED_VALUE"""),2312062.59)</f>
        <v>2312062.59</v>
      </c>
      <c r="AR80" s="340">
        <f>IFERROR(__xludf.DUMMYFUNCTION("""COMPUTED_VALUE"""),73048.81)</f>
        <v>73048.81</v>
      </c>
      <c r="AS80" s="343">
        <f>IFERROR(__xludf.DUMMYFUNCTION("""COMPUTED_VALUE"""),480870.75)</f>
        <v>480870.75</v>
      </c>
      <c r="AT80" s="343">
        <f>IFERROR(__xludf.DUMMYFUNCTION("""COMPUTED_VALUE"""),1.057008427E7)</f>
        <v>10570084.27</v>
      </c>
      <c r="AU80" s="341">
        <f>IFERROR(__xludf.DUMMYFUNCTION("""COMPUTED_VALUE"""),86497.88)</f>
        <v>86497.88</v>
      </c>
      <c r="AV80" s="343">
        <f>IFERROR(__xludf.DUMMYFUNCTION("""COMPUTED_VALUE"""),2789986.83)</f>
        <v>2789986.83</v>
      </c>
      <c r="AW80" s="343">
        <f>IFERROR(__xludf.DUMMYFUNCTION("""COMPUTED_VALUE"""),1528819.2100000004)</f>
        <v>1528819.21</v>
      </c>
      <c r="AX80" s="343">
        <f>IFERROR(__xludf.DUMMYFUNCTION("""COMPUTED_VALUE"""),1400731.3099999998)</f>
        <v>1400731.31</v>
      </c>
      <c r="AY80" s="343">
        <f>IFERROR(__xludf.DUMMYFUNCTION("""COMPUTED_VALUE"""),673419.3600000001)</f>
        <v>673419.36</v>
      </c>
      <c r="AZ80" s="346">
        <f>IFERROR(__xludf.DUMMYFUNCTION("""COMPUTED_VALUE"""),0.0)</f>
        <v>0</v>
      </c>
      <c r="BA80" s="343">
        <f>IFERROR(__xludf.DUMMYFUNCTION("""COMPUTED_VALUE"""),0.0)</f>
        <v>0</v>
      </c>
      <c r="BB80" s="343">
        <f>IFERROR(__xludf.DUMMYFUNCTION("""COMPUTED_VALUE"""),526943.9600000001)</f>
        <v>526943.96</v>
      </c>
      <c r="BC80" s="343">
        <f>IFERROR(__xludf.DUMMYFUNCTION("""COMPUTED_VALUE"""),1414753.8599999999)</f>
        <v>1414753.86</v>
      </c>
      <c r="BD80" s="343">
        <f>IFERROR(__xludf.DUMMYFUNCTION("""COMPUTED_VALUE"""),0.0)</f>
        <v>0</v>
      </c>
      <c r="BE80" s="343">
        <f>IFERROR(__xludf.DUMMYFUNCTION("""COMPUTED_VALUE"""),558939.96)</f>
        <v>558939.96</v>
      </c>
      <c r="BF80" s="343">
        <f>IFERROR(__xludf.DUMMYFUNCTION("""COMPUTED_VALUE"""),0.0)</f>
        <v>0</v>
      </c>
      <c r="BG80" s="343">
        <f>IFERROR(__xludf.DUMMYFUNCTION("""COMPUTED_VALUE"""),5876616.619999999)</f>
        <v>5876616.62</v>
      </c>
      <c r="BH80" s="347">
        <f>IFERROR(__xludf.DUMMYFUNCTION("""COMPUTED_VALUE"""),188811.46)</f>
        <v>188811.46</v>
      </c>
      <c r="BI80" s="343"/>
      <c r="BJ80" s="343">
        <f>IFERROR(__xludf.DUMMYFUNCTION("""COMPUTED_VALUE"""),2508660.71)</f>
        <v>2508660.71</v>
      </c>
      <c r="BK80" s="344">
        <f>IFERROR(__xludf.DUMMYFUNCTION("""COMPUTED_VALUE"""),0.0)</f>
        <v>0</v>
      </c>
      <c r="BL80" s="133">
        <f>IFERROR(__xludf.DUMMYFUNCTION("""COMPUTED_VALUE"""),840477.06)</f>
        <v>840477.06</v>
      </c>
      <c r="BM80" s="2"/>
      <c r="BN80" s="2"/>
      <c r="BO80" s="2"/>
      <c r="BP80" s="2"/>
      <c r="BQ80" s="133"/>
      <c r="BR80" s="133"/>
      <c r="BS80" s="25"/>
    </row>
    <row r="81" hidden="1">
      <c r="A81" s="348" t="str">
        <f>IFERROR(__xludf.DUMMYFUNCTION("""COMPUTED_VALUE"""),"April'26")</f>
        <v>April'26</v>
      </c>
      <c r="B81" s="349" t="str">
        <f>IFERROR(__xludf.DUMMYFUNCTION("""COMPUTED_VALUE"""),"(USD : 32)")</f>
        <v>(USD : 32)</v>
      </c>
      <c r="C81" s="350"/>
      <c r="D81" s="349"/>
      <c r="E81" s="349"/>
      <c r="F81" s="349"/>
      <c r="G81" s="351"/>
      <c r="H81" s="352">
        <f>IFERROR(__xludf.DUMMYFUNCTION("""COMPUTED_VALUE"""),32.16)</f>
        <v>32.16</v>
      </c>
      <c r="I81" s="352"/>
      <c r="J81" s="352"/>
      <c r="K81" s="353"/>
      <c r="L81" s="352"/>
      <c r="M81" s="352"/>
      <c r="N81" s="354"/>
      <c r="O81" s="355"/>
      <c r="P81" s="355">
        <f>IFERROR(__xludf.DUMMYFUNCTION("""COMPUTED_VALUE"""),605073.1259898231)</f>
        <v>605073.126</v>
      </c>
      <c r="Q81" s="355">
        <f>IFERROR(__xludf.DUMMYFUNCTION("""COMPUTED_VALUE"""),42355.118819287614)</f>
        <v>42355.11882</v>
      </c>
      <c r="R81" s="355">
        <f>IFERROR(__xludf.DUMMYFUNCTION("""COMPUTED_VALUE"""),625401.9925419466)</f>
        <v>625401.9925</v>
      </c>
      <c r="S81" s="355">
        <f>IFERROR(__xludf.DUMMYFUNCTION("""COMPUTED_VALUE"""),1082.5633085739526)</f>
        <v>1082.563309</v>
      </c>
      <c r="T81" s="355">
        <f>IFERROR(__xludf.DUMMYFUNCTION("""COMPUTED_VALUE"""),0.0)</f>
        <v>0</v>
      </c>
      <c r="U81" s="355">
        <f>IFERROR(__xludf.DUMMYFUNCTION("""COMPUTED_VALUE"""),64676.81934079602)</f>
        <v>64676.81934</v>
      </c>
      <c r="V81" s="355">
        <f>IFERROR(__xludf.DUMMYFUNCTION("""COMPUTED_VALUE"""),113677.23880597016)</f>
        <v>113677.2388</v>
      </c>
      <c r="W81" s="355">
        <f>IFERROR(__xludf.DUMMYFUNCTION("""COMPUTED_VALUE"""),352913.52703770867)</f>
        <v>352913.527</v>
      </c>
      <c r="X81" s="355">
        <f>IFERROR(__xludf.DUMMYFUNCTION("""COMPUTED_VALUE"""),82356.53583022389)</f>
        <v>82356.53583</v>
      </c>
      <c r="Y81" s="355">
        <f>IFERROR(__xludf.DUMMYFUNCTION("""COMPUTED_VALUE"""),433067.15578358213)</f>
        <v>433067.1558</v>
      </c>
      <c r="Z81" s="355">
        <f>IFERROR(__xludf.DUMMYFUNCTION("""COMPUTED_VALUE"""),112032.64552238808)</f>
        <v>112032.6455</v>
      </c>
      <c r="AA81" s="355">
        <f>IFERROR(__xludf.DUMMYFUNCTION("""COMPUTED_VALUE"""),190281.70087064678)</f>
        <v>190281.7009</v>
      </c>
      <c r="AB81" s="355">
        <f>IFERROR(__xludf.DUMMYFUNCTION("""COMPUTED_VALUE"""),76601.90018656717)</f>
        <v>76601.90019</v>
      </c>
      <c r="AC81" s="356">
        <f>IFERROR(__xludf.DUMMYFUNCTION("""COMPUTED_VALUE"""),26134.236940298513)</f>
        <v>26134.23694</v>
      </c>
      <c r="AD81" s="357">
        <f>IFERROR(__xludf.DUMMYFUNCTION("""COMPUTED_VALUE"""),915901.5211442786)</f>
        <v>915901.5211</v>
      </c>
      <c r="AE81" s="355">
        <f>IFERROR(__xludf.DUMMYFUNCTION("""COMPUTED_VALUE"""),0.0)</f>
        <v>0</v>
      </c>
      <c r="AF81" s="356">
        <f>IFERROR(__xludf.DUMMYFUNCTION("""COMPUTED_VALUE"""),0.0)</f>
        <v>0</v>
      </c>
      <c r="AG81" s="357">
        <f>IFERROR(__xludf.DUMMYFUNCTION("""COMPUTED_VALUE"""),0.0)</f>
        <v>0</v>
      </c>
      <c r="AH81" s="356">
        <f>IFERROR(__xludf.DUMMYFUNCTION("""COMPUTED_VALUE"""),23555.0401119403)</f>
        <v>23555.04011</v>
      </c>
      <c r="AI81" s="355">
        <f>IFERROR(__xludf.DUMMYFUNCTION("""COMPUTED_VALUE"""),41121.779228855725)</f>
        <v>41121.77923</v>
      </c>
      <c r="AJ81" s="355">
        <f>IFERROR(__xludf.DUMMYFUNCTION("""COMPUTED_VALUE"""),4317.786069651742)</f>
        <v>4317.78607</v>
      </c>
      <c r="AK81" s="356">
        <f>IFERROR(__xludf.DUMMYFUNCTION("""COMPUTED_VALUE"""),0.0)</f>
        <v>0</v>
      </c>
      <c r="AL81" s="355">
        <f>IFERROR(__xludf.DUMMYFUNCTION("""COMPUTED_VALUE"""),109359.45273631842)</f>
        <v>109359.4527</v>
      </c>
      <c r="AM81" s="355">
        <f>IFERROR(__xludf.DUMMYFUNCTION("""COMPUTED_VALUE"""),74636.68532338309)</f>
        <v>74636.68532</v>
      </c>
      <c r="AN81" s="356">
        <f>IFERROR(__xludf.DUMMYFUNCTION("""COMPUTED_VALUE"""),184786.90827114432)</f>
        <v>184786.9083</v>
      </c>
      <c r="AO81" s="355">
        <f>IFERROR(__xludf.DUMMYFUNCTION("""COMPUTED_VALUE"""),11723.44745024876)</f>
        <v>11723.44745</v>
      </c>
      <c r="AP81" s="355">
        <f>IFERROR(__xludf.DUMMYFUNCTION("""COMPUTED_VALUE"""),13793.169450643976)</f>
        <v>13793.16945</v>
      </c>
      <c r="AQ81" s="356">
        <f>IFERROR(__xludf.DUMMYFUNCTION("""COMPUTED_VALUE"""),71892.49347014926)</f>
        <v>71892.49347</v>
      </c>
      <c r="AR81" s="355">
        <f>IFERROR(__xludf.DUMMYFUNCTION("""COMPUTED_VALUE"""),2271.418221393035)</f>
        <v>2271.418221</v>
      </c>
      <c r="AS81" s="355">
        <f>IFERROR(__xludf.DUMMYFUNCTION("""COMPUTED_VALUE"""),14952.448694029852)</f>
        <v>14952.44869</v>
      </c>
      <c r="AT81" s="355">
        <f>IFERROR(__xludf.DUMMYFUNCTION("""COMPUTED_VALUE"""),328671.7745646766)</f>
        <v>328671.7746</v>
      </c>
      <c r="AU81" s="355">
        <f>IFERROR(__xludf.DUMMYFUNCTION("""COMPUTED_VALUE"""),2689.6106965174135)</f>
        <v>2689.610697</v>
      </c>
      <c r="AV81" s="355">
        <f>IFERROR(__xludf.DUMMYFUNCTION("""COMPUTED_VALUE"""),86753.32182835822)</f>
        <v>86753.32183</v>
      </c>
      <c r="AW81" s="355">
        <f>IFERROR(__xludf.DUMMYFUNCTION("""COMPUTED_VALUE"""),47537.91075870649)</f>
        <v>47537.91076</v>
      </c>
      <c r="AX81" s="355">
        <f>IFERROR(__xludf.DUMMYFUNCTION("""COMPUTED_VALUE"""),43555.07804726368)</f>
        <v>43555.07805</v>
      </c>
      <c r="AY81" s="355">
        <f>IFERROR(__xludf.DUMMYFUNCTION("""COMPUTED_VALUE"""),20939.656716417914)</f>
        <v>20939.65672</v>
      </c>
      <c r="AZ81" s="358">
        <f>IFERROR(__xludf.DUMMYFUNCTION("""COMPUTED_VALUE"""),0.0)</f>
        <v>0</v>
      </c>
      <c r="BA81" s="355">
        <f>IFERROR(__xludf.DUMMYFUNCTION("""COMPUTED_VALUE"""),0.0)</f>
        <v>0</v>
      </c>
      <c r="BB81" s="355">
        <f>IFERROR(__xludf.DUMMYFUNCTION("""COMPUTED_VALUE"""),16385.073383084582)</f>
        <v>16385.07338</v>
      </c>
      <c r="BC81" s="355">
        <f>IFERROR(__xludf.DUMMYFUNCTION("""COMPUTED_VALUE"""),43991.102611940296)</f>
        <v>43991.10261</v>
      </c>
      <c r="BD81" s="355">
        <f>IFERROR(__xludf.DUMMYFUNCTION("""COMPUTED_VALUE"""),0.0)</f>
        <v>0</v>
      </c>
      <c r="BE81" s="355">
        <f>IFERROR(__xludf.DUMMYFUNCTION("""COMPUTED_VALUE"""),17379.973880597016)</f>
        <v>17379.97388</v>
      </c>
      <c r="BF81" s="355">
        <f>IFERROR(__xludf.DUMMYFUNCTION("""COMPUTED_VALUE"""),0.0)</f>
        <v>0</v>
      </c>
      <c r="BG81" s="355">
        <f>IFERROR(__xludf.DUMMYFUNCTION("""COMPUTED_VALUE"""),182730.61629353234)</f>
        <v>182730.6163</v>
      </c>
      <c r="BH81" s="354">
        <f>IFERROR(__xludf.DUMMYFUNCTION("""COMPUTED_VALUE"""),5871.003109452737)</f>
        <v>5871.003109</v>
      </c>
      <c r="BI81" s="355"/>
      <c r="BJ81" s="355">
        <f>IFERROR(__xludf.DUMMYFUNCTION("""COMPUTED_VALUE"""),78005.61909203981)</f>
        <v>78005.61909</v>
      </c>
      <c r="BK81" s="356">
        <f>IFERROR(__xludf.DUMMYFUNCTION("""COMPUTED_VALUE"""),0.0)</f>
        <v>0</v>
      </c>
      <c r="BL81" s="133">
        <f>IFERROR(__xludf.DUMMYFUNCTION("""COMPUTED_VALUE"""),26134.236940298513)</f>
        <v>26134.23694</v>
      </c>
      <c r="BM81" s="2"/>
      <c r="BN81" s="2"/>
      <c r="BO81" s="2"/>
      <c r="BP81" s="2"/>
      <c r="BQ81" s="133"/>
      <c r="BR81" s="133"/>
      <c r="BS81" s="25"/>
    </row>
    <row r="82" hidden="1">
      <c r="A82" s="6" t="str">
        <f>IFERROR(__xludf.DUMMYFUNCTION("""COMPUTED_VALUE"""),"April'26")</f>
        <v>April'26</v>
      </c>
      <c r="B82" s="2"/>
      <c r="C82" s="2"/>
      <c r="D82" s="2"/>
      <c r="E82" s="2"/>
      <c r="F82" s="2"/>
      <c r="G82" s="3"/>
      <c r="H82" s="34"/>
      <c r="I82" s="34"/>
      <c r="J82" s="34"/>
      <c r="K82" s="34"/>
      <c r="L82" s="34"/>
      <c r="M82" s="3"/>
      <c r="N82" s="6"/>
      <c r="O82" s="6"/>
      <c r="P82" s="4"/>
      <c r="Q82" s="6"/>
      <c r="R82" s="6"/>
      <c r="S82" s="6"/>
      <c r="T82" s="133"/>
      <c r="U82" s="133"/>
      <c r="V82" s="133"/>
      <c r="W82" s="133"/>
      <c r="X82" s="6"/>
      <c r="Y82" s="6"/>
      <c r="Z82" s="6"/>
      <c r="AA82" s="6"/>
      <c r="AB82" s="6"/>
      <c r="AC82" s="6"/>
      <c r="AD82" s="133"/>
      <c r="AE82" s="34"/>
      <c r="AF82" s="34"/>
      <c r="AG82" s="133"/>
      <c r="AH82" s="133"/>
      <c r="AI82" s="133"/>
      <c r="AJ82" s="133"/>
      <c r="AK82" s="133"/>
      <c r="AL82" s="133"/>
      <c r="AM82" s="133"/>
      <c r="AN82" s="133"/>
      <c r="AO82" s="34"/>
      <c r="AP82" s="34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33"/>
      <c r="BR82" s="133"/>
      <c r="BS82" s="25"/>
    </row>
    <row r="83" hidden="1">
      <c r="A83" s="359" t="str">
        <f>IFERROR(__xludf.DUMMYFUNCTION("""COMPUTED_VALUE"""),"April'26")</f>
        <v>April'26</v>
      </c>
      <c r="B83" s="360" t="str">
        <f>IFERROR(__xludf.DUMMYFUNCTION("""COMPUTED_VALUE"""),"Further note details**")</f>
        <v>Further note details**</v>
      </c>
      <c r="C83" s="360"/>
      <c r="D83" s="360"/>
      <c r="E83" s="361"/>
      <c r="F83" s="361"/>
      <c r="G83" s="362"/>
      <c r="H83" s="361"/>
      <c r="I83" s="361"/>
      <c r="J83" s="361"/>
      <c r="K83" s="361"/>
      <c r="L83" s="361"/>
      <c r="M83" s="361"/>
      <c r="N83" s="360"/>
      <c r="O83" s="360"/>
      <c r="P83" s="360"/>
      <c r="Q83" s="360"/>
      <c r="R83" s="360"/>
      <c r="S83" s="360"/>
      <c r="T83" s="361"/>
      <c r="U83" s="361"/>
      <c r="V83" s="361"/>
      <c r="W83" s="360"/>
      <c r="X83" s="361"/>
      <c r="Y83" s="361"/>
      <c r="Z83" s="361"/>
      <c r="AA83" s="361"/>
      <c r="AB83" s="361"/>
      <c r="AC83" s="361"/>
      <c r="AD83" s="361"/>
      <c r="AE83" s="363"/>
      <c r="AF83" s="363"/>
      <c r="AG83" s="361"/>
      <c r="AH83" s="361"/>
      <c r="AI83" s="361"/>
      <c r="AJ83" s="361"/>
      <c r="AK83" s="361"/>
      <c r="AL83" s="361"/>
      <c r="AM83" s="361"/>
      <c r="AN83" s="361"/>
      <c r="AO83" s="363"/>
      <c r="AP83" s="363"/>
      <c r="AQ83" s="363"/>
      <c r="AR83" s="363"/>
      <c r="AS83" s="363"/>
      <c r="AT83" s="362"/>
      <c r="AU83" s="361"/>
      <c r="AV83" s="361"/>
      <c r="AW83" s="361"/>
      <c r="AX83" s="360"/>
      <c r="AY83" s="360"/>
      <c r="AZ83" s="360"/>
      <c r="BA83" s="360"/>
      <c r="BB83" s="361"/>
      <c r="BC83" s="361"/>
      <c r="BD83" s="361"/>
      <c r="BE83" s="361"/>
      <c r="BF83" s="361"/>
      <c r="BG83" s="361"/>
      <c r="BH83" s="361"/>
      <c r="BI83" s="361"/>
      <c r="BJ83" s="361"/>
      <c r="BK83" s="361"/>
      <c r="BL83" s="361"/>
      <c r="BM83" s="361"/>
      <c r="BN83" s="361"/>
      <c r="BO83" s="361"/>
      <c r="BP83" s="361"/>
      <c r="BQ83" s="361"/>
      <c r="BR83" s="361"/>
      <c r="BS83" s="25"/>
    </row>
    <row r="84" hidden="1">
      <c r="A84" s="364" t="str">
        <f>IFERROR(__xludf.DUMMYFUNCTION("""COMPUTED_VALUE"""),"April'26")</f>
        <v>April'26</v>
      </c>
      <c r="B84" s="2" t="str">
        <f>IFERROR(__xludf.DUMMYFUNCTION("""COMPUTED_VALUE"""),"ADIDAS REG_2026 Intrepid Marketing")</f>
        <v>ADIDAS REG_2026 Intrepid Marketing</v>
      </c>
      <c r="C84" s="2"/>
      <c r="D84" s="2"/>
      <c r="E84" s="2"/>
      <c r="F84" s="2"/>
      <c r="G84" s="3"/>
      <c r="H84" s="34"/>
      <c r="I84" s="34"/>
      <c r="J84" s="34"/>
      <c r="K84" s="34"/>
      <c r="L84" s="34"/>
      <c r="M84" s="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5"/>
    </row>
    <row r="85" hidden="1">
      <c r="A85" s="365" t="str">
        <f>IFERROR(__xludf.DUMMYFUNCTION("""COMPUTED_VALUE"""),"April'26")</f>
        <v>April'26</v>
      </c>
      <c r="B85" s="188" t="str">
        <f>IFERROR(__xludf.DUMMYFUNCTION("""COMPUTED_VALUE"""),"Adidas TH")</f>
        <v>Adidas TH</v>
      </c>
      <c r="C85" s="239" t="str">
        <f>IFERROR(__xludf.DUMMYFUNCTION("""COMPUTED_VALUE"""),"Adidas")</f>
        <v>Adidas</v>
      </c>
      <c r="D85" s="239" t="str">
        <f>IFERROR(__xludf.DUMMYFUNCTION("""COMPUTED_VALUE"""),"Paid by Intrepid")</f>
        <v>Paid by Intrepid</v>
      </c>
      <c r="E85" s="366" t="str">
        <f>IFERROR(__xludf.DUMMYFUNCTION("""COMPUTED_VALUE"""),"Win")</f>
        <v>Win</v>
      </c>
      <c r="F85" s="239"/>
      <c r="G85" s="313" t="str">
        <f>IFERROR(__xludf.DUMMYFUNCTION("""COMPUTED_VALUE"""),"Yee Sin")</f>
        <v>Yee Sin</v>
      </c>
      <c r="H85" s="4">
        <f>IFERROR(__xludf.DUMMYFUNCTION("""COMPUTED_VALUE"""),0.052)</f>
        <v>0.052</v>
      </c>
      <c r="I85" s="4"/>
      <c r="J85" s="4"/>
      <c r="K85" s="4"/>
      <c r="L85" s="221"/>
      <c r="M85" s="157">
        <f>IFERROR(__xludf.DUMMYFUNCTION("""COMPUTED_VALUE"""),1750.0)</f>
        <v>1750</v>
      </c>
      <c r="N85" s="367">
        <f>IFERROR(__xludf.DUMMYFUNCTION("""COMPUTED_VALUE"""),0.0)</f>
        <v>0</v>
      </c>
      <c r="O85" s="164" t="str">
        <f>IFERROR(__xludf.DUMMYFUNCTION("""COMPUTED_VALUE"""),"-")</f>
        <v>-</v>
      </c>
      <c r="P85" s="164">
        <f>IFERROR(__xludf.DUMMYFUNCTION("""COMPUTED_VALUE"""),0.0)</f>
        <v>0</v>
      </c>
      <c r="Q85" s="164">
        <f>IFERROR(__xludf.DUMMYFUNCTION("""COMPUTED_VALUE"""),0.0)</f>
        <v>0</v>
      </c>
      <c r="R85" s="171">
        <f>IFERROR(__xludf.DUMMYFUNCTION("""COMPUTED_VALUE"""),0.0)</f>
        <v>0</v>
      </c>
      <c r="S85" s="171">
        <f>IFERROR(__xludf.DUMMYFUNCTION("""COMPUTED_VALUE"""),0.0)</f>
        <v>0</v>
      </c>
      <c r="T85" s="171">
        <f>IFERROR(__xludf.DUMMYFUNCTION("""COMPUTED_VALUE"""),0.0)</f>
        <v>0</v>
      </c>
      <c r="U85" s="171">
        <f>IFERROR(__xludf.DUMMYFUNCTION("""COMPUTED_VALUE"""),0.0)</f>
        <v>0</v>
      </c>
      <c r="V85" s="171">
        <f>IFERROR(__xludf.DUMMYFUNCTION("""COMPUTED_VALUE"""),0.0)</f>
        <v>0</v>
      </c>
      <c r="W85" s="171">
        <f>IFERROR(__xludf.DUMMYFUNCTION("""COMPUTED_VALUE"""),0.0)</f>
        <v>0</v>
      </c>
      <c r="X85" s="133" t="str">
        <f>IFERROR(__xludf.DUMMYFUNCTION("""COMPUTED_VALUE"""),"0")</f>
        <v>0</v>
      </c>
      <c r="Y85" s="133"/>
      <c r="Z85" s="133"/>
      <c r="AA85" s="133"/>
      <c r="AB85" s="133"/>
      <c r="AC85" s="171"/>
      <c r="AD85" s="17">
        <f>IFERROR(__xludf.DUMMYFUNCTION("""COMPUTED_VALUE"""),0.0)</f>
        <v>0</v>
      </c>
      <c r="AE85" s="17"/>
      <c r="AF85" s="17"/>
      <c r="AG85" s="133"/>
      <c r="AH85" s="133"/>
      <c r="AI85" s="133"/>
      <c r="AJ85" s="133"/>
      <c r="AK85" s="133"/>
      <c r="AL85" s="133"/>
      <c r="AM85" s="17"/>
      <c r="AN85" s="17"/>
      <c r="AO85" s="133"/>
      <c r="AP85" s="17"/>
      <c r="AQ85" s="133"/>
      <c r="AR85" s="133"/>
      <c r="AS85" s="133"/>
      <c r="AT85" s="17"/>
      <c r="AU85" s="133"/>
      <c r="AV85" s="133"/>
      <c r="AW85" s="133"/>
      <c r="AX85" s="17"/>
      <c r="AY85" s="17"/>
      <c r="AZ85" s="17"/>
      <c r="BA85" s="133"/>
      <c r="BB85" s="133"/>
      <c r="BC85" s="17"/>
      <c r="BD85" s="17"/>
      <c r="BE85" s="17"/>
      <c r="BF85" s="17"/>
      <c r="BG85" s="17"/>
      <c r="BH85" s="17"/>
      <c r="BI85" s="17"/>
      <c r="BJ85" s="17"/>
      <c r="BK85" s="17"/>
      <c r="BL85" s="2"/>
      <c r="BM85" s="2"/>
      <c r="BN85" s="2"/>
      <c r="BO85" s="2"/>
      <c r="BP85" s="2"/>
      <c r="BQ85" s="2"/>
      <c r="BR85" s="2"/>
      <c r="BS85" s="25"/>
    </row>
    <row r="86" hidden="1">
      <c r="A86" s="365" t="str">
        <f>IFERROR(__xludf.DUMMYFUNCTION("""COMPUTED_VALUE"""),"April'26")</f>
        <v>April'26</v>
      </c>
      <c r="B86" s="188" t="str">
        <f>IFERROR(__xludf.DUMMYFUNCTION("""COMPUTED_VALUE"""),"Adidas VN")</f>
        <v>Adidas VN</v>
      </c>
      <c r="C86" s="239" t="str">
        <f>IFERROR(__xludf.DUMMYFUNCTION("""COMPUTED_VALUE"""),"Adidas")</f>
        <v>Adidas</v>
      </c>
      <c r="D86" s="239" t="str">
        <f>IFERROR(__xludf.DUMMYFUNCTION("""COMPUTED_VALUE"""),"Paid by Intrepid")</f>
        <v>Paid by Intrepid</v>
      </c>
      <c r="E86" s="366" t="str">
        <f>IFERROR(__xludf.DUMMYFUNCTION("""COMPUTED_VALUE"""),"Win")</f>
        <v>Win</v>
      </c>
      <c r="F86" s="239"/>
      <c r="G86" s="313" t="str">
        <f>IFERROR(__xludf.DUMMYFUNCTION("""COMPUTED_VALUE"""),"Yee Sin")</f>
        <v>Yee Sin</v>
      </c>
      <c r="H86" s="4">
        <f>IFERROR(__xludf.DUMMYFUNCTION("""COMPUTED_VALUE"""),0.052)</f>
        <v>0.052</v>
      </c>
      <c r="I86" s="4"/>
      <c r="J86" s="4"/>
      <c r="K86" s="4"/>
      <c r="L86" s="221"/>
      <c r="M86" s="157">
        <f>IFERROR(__xludf.DUMMYFUNCTION("""COMPUTED_VALUE"""),2424.0)</f>
        <v>2424</v>
      </c>
      <c r="N86" s="367">
        <f>IFERROR(__xludf.DUMMYFUNCTION("""COMPUTED_VALUE"""),0.0)</f>
        <v>0</v>
      </c>
      <c r="O86" s="164" t="str">
        <f>IFERROR(__xludf.DUMMYFUNCTION("""COMPUTED_VALUE"""),"-")</f>
        <v>-</v>
      </c>
      <c r="P86" s="164">
        <f>IFERROR(__xludf.DUMMYFUNCTION("""COMPUTED_VALUE"""),0.0)</f>
        <v>0</v>
      </c>
      <c r="Q86" s="164">
        <f>IFERROR(__xludf.DUMMYFUNCTION("""COMPUTED_VALUE"""),0.0)</f>
        <v>0</v>
      </c>
      <c r="R86" s="171">
        <f>IFERROR(__xludf.DUMMYFUNCTION("""COMPUTED_VALUE"""),0.0)</f>
        <v>0</v>
      </c>
      <c r="S86" s="171">
        <f>IFERROR(__xludf.DUMMYFUNCTION("""COMPUTED_VALUE"""),0.0)</f>
        <v>0</v>
      </c>
      <c r="T86" s="171">
        <f>IFERROR(__xludf.DUMMYFUNCTION("""COMPUTED_VALUE"""),0.0)</f>
        <v>0</v>
      </c>
      <c r="U86" s="171">
        <f>IFERROR(__xludf.DUMMYFUNCTION("""COMPUTED_VALUE"""),0.0)</f>
        <v>0</v>
      </c>
      <c r="V86" s="171">
        <f>IFERROR(__xludf.DUMMYFUNCTION("""COMPUTED_VALUE"""),0.0)</f>
        <v>0</v>
      </c>
      <c r="W86" s="171">
        <f>IFERROR(__xludf.DUMMYFUNCTION("""COMPUTED_VALUE"""),0.0)</f>
        <v>0</v>
      </c>
      <c r="X86" s="133" t="str">
        <f>IFERROR(__xludf.DUMMYFUNCTION("""COMPUTED_VALUE"""),"0")</f>
        <v>0</v>
      </c>
      <c r="Y86" s="133"/>
      <c r="Z86" s="133"/>
      <c r="AA86" s="133"/>
      <c r="AB86" s="133"/>
      <c r="AC86" s="171"/>
      <c r="AD86" s="17">
        <f>IFERROR(__xludf.DUMMYFUNCTION("""COMPUTED_VALUE"""),0.0)</f>
        <v>0</v>
      </c>
      <c r="AE86" s="17"/>
      <c r="AF86" s="17"/>
      <c r="AG86" s="133"/>
      <c r="AH86" s="133"/>
      <c r="AI86" s="133"/>
      <c r="AJ86" s="133"/>
      <c r="AK86" s="133"/>
      <c r="AL86" s="133"/>
      <c r="AM86" s="17"/>
      <c r="AN86" s="17"/>
      <c r="AO86" s="133"/>
      <c r="AP86" s="17"/>
      <c r="AQ86" s="133"/>
      <c r="AR86" s="133"/>
      <c r="AS86" s="133"/>
      <c r="AT86" s="17"/>
      <c r="AU86" s="133"/>
      <c r="AV86" s="133"/>
      <c r="AW86" s="133"/>
      <c r="AX86" s="17"/>
      <c r="AY86" s="17"/>
      <c r="AZ86" s="17"/>
      <c r="BA86" s="133"/>
      <c r="BB86" s="133"/>
      <c r="BC86" s="17"/>
      <c r="BD86" s="17"/>
      <c r="BE86" s="17"/>
      <c r="BF86" s="17"/>
      <c r="BG86" s="17"/>
      <c r="BH86" s="17"/>
      <c r="BI86" s="17"/>
      <c r="BJ86" s="17"/>
      <c r="BK86" s="17"/>
      <c r="BL86" s="2"/>
      <c r="BM86" s="2"/>
      <c r="BN86" s="2"/>
      <c r="BO86" s="2"/>
      <c r="BP86" s="2"/>
      <c r="BQ86" s="2"/>
      <c r="BR86" s="2"/>
      <c r="BS86" s="25"/>
    </row>
    <row r="87" hidden="1">
      <c r="A87" s="365" t="str">
        <f>IFERROR(__xludf.DUMMYFUNCTION("""COMPUTED_VALUE"""),"April'26")</f>
        <v>April'26</v>
      </c>
      <c r="B87" s="188" t="str">
        <f>IFERROR(__xludf.DUMMYFUNCTION("""COMPUTED_VALUE"""),"Adidas ID")</f>
        <v>Adidas ID</v>
      </c>
      <c r="C87" s="239" t="str">
        <f>IFERROR(__xludf.DUMMYFUNCTION("""COMPUTED_VALUE"""),"Adidas")</f>
        <v>Adidas</v>
      </c>
      <c r="D87" s="239" t="str">
        <f>IFERROR(__xludf.DUMMYFUNCTION("""COMPUTED_VALUE"""),"Paid by Intrepid")</f>
        <v>Paid by Intrepid</v>
      </c>
      <c r="E87" s="366" t="str">
        <f>IFERROR(__xludf.DUMMYFUNCTION("""COMPUTED_VALUE"""),"Win")</f>
        <v>Win</v>
      </c>
      <c r="F87" s="239"/>
      <c r="G87" s="313" t="str">
        <f>IFERROR(__xludf.DUMMYFUNCTION("""COMPUTED_VALUE"""),"Yee Sin")</f>
        <v>Yee Sin</v>
      </c>
      <c r="H87" s="4">
        <f>IFERROR(__xludf.DUMMYFUNCTION("""COMPUTED_VALUE"""),0.052)</f>
        <v>0.052</v>
      </c>
      <c r="I87" s="4"/>
      <c r="J87" s="4"/>
      <c r="K87" s="4"/>
      <c r="L87" s="221"/>
      <c r="M87" s="157">
        <f>IFERROR(__xludf.DUMMYFUNCTION("""COMPUTED_VALUE"""),2424.0)</f>
        <v>2424</v>
      </c>
      <c r="N87" s="367">
        <f>IFERROR(__xludf.DUMMYFUNCTION("""COMPUTED_VALUE"""),0.0)</f>
        <v>0</v>
      </c>
      <c r="O87" s="164" t="str">
        <f>IFERROR(__xludf.DUMMYFUNCTION("""COMPUTED_VALUE"""),"-")</f>
        <v>-</v>
      </c>
      <c r="P87" s="164">
        <f>IFERROR(__xludf.DUMMYFUNCTION("""COMPUTED_VALUE"""),0.0)</f>
        <v>0</v>
      </c>
      <c r="Q87" s="164">
        <f>IFERROR(__xludf.DUMMYFUNCTION("""COMPUTED_VALUE"""),0.0)</f>
        <v>0</v>
      </c>
      <c r="R87" s="171">
        <f>IFERROR(__xludf.DUMMYFUNCTION("""COMPUTED_VALUE"""),0.0)</f>
        <v>0</v>
      </c>
      <c r="S87" s="171">
        <f>IFERROR(__xludf.DUMMYFUNCTION("""COMPUTED_VALUE"""),0.0)</f>
        <v>0</v>
      </c>
      <c r="T87" s="171">
        <f>IFERROR(__xludf.DUMMYFUNCTION("""COMPUTED_VALUE"""),0.0)</f>
        <v>0</v>
      </c>
      <c r="U87" s="171">
        <f>IFERROR(__xludf.DUMMYFUNCTION("""COMPUTED_VALUE"""),0.0)</f>
        <v>0</v>
      </c>
      <c r="V87" s="171">
        <f>IFERROR(__xludf.DUMMYFUNCTION("""COMPUTED_VALUE"""),0.0)</f>
        <v>0</v>
      </c>
      <c r="W87" s="171">
        <f>IFERROR(__xludf.DUMMYFUNCTION("""COMPUTED_VALUE"""),0.0)</f>
        <v>0</v>
      </c>
      <c r="X87" s="133" t="str">
        <f>IFERROR(__xludf.DUMMYFUNCTION("""COMPUTED_VALUE"""),"0")</f>
        <v>0</v>
      </c>
      <c r="Y87" s="133"/>
      <c r="Z87" s="133"/>
      <c r="AA87" s="133"/>
      <c r="AB87" s="133"/>
      <c r="AC87" s="171"/>
      <c r="AD87" s="17">
        <f>IFERROR(__xludf.DUMMYFUNCTION("""COMPUTED_VALUE"""),0.0)</f>
        <v>0</v>
      </c>
      <c r="AE87" s="17"/>
      <c r="AF87" s="17"/>
      <c r="AG87" s="133"/>
      <c r="AH87" s="133"/>
      <c r="AI87" s="133"/>
      <c r="AJ87" s="133"/>
      <c r="AK87" s="133"/>
      <c r="AL87" s="133"/>
      <c r="AM87" s="17"/>
      <c r="AN87" s="17"/>
      <c r="AO87" s="133"/>
      <c r="AP87" s="17"/>
      <c r="AQ87" s="133"/>
      <c r="AR87" s="133"/>
      <c r="AS87" s="133"/>
      <c r="AT87" s="17"/>
      <c r="AU87" s="133"/>
      <c r="AV87" s="133"/>
      <c r="AW87" s="133"/>
      <c r="AX87" s="17"/>
      <c r="AY87" s="17"/>
      <c r="AZ87" s="17"/>
      <c r="BA87" s="133"/>
      <c r="BB87" s="133"/>
      <c r="BC87" s="17"/>
      <c r="BD87" s="17"/>
      <c r="BE87" s="17"/>
      <c r="BF87" s="17"/>
      <c r="BG87" s="17"/>
      <c r="BH87" s="17"/>
      <c r="BI87" s="17"/>
      <c r="BJ87" s="17"/>
      <c r="BK87" s="17"/>
      <c r="BL87" s="2"/>
      <c r="BM87" s="2"/>
      <c r="BN87" s="2"/>
      <c r="BO87" s="2"/>
      <c r="BP87" s="2"/>
      <c r="BQ87" s="2"/>
      <c r="BR87" s="2"/>
      <c r="BS87" s="25"/>
    </row>
    <row r="88" hidden="1">
      <c r="A88" s="365" t="str">
        <f>IFERROR(__xludf.DUMMYFUNCTION("""COMPUTED_VALUE"""),"April'26")</f>
        <v>April'26</v>
      </c>
      <c r="B88" s="229" t="str">
        <f>IFERROR(__xludf.DUMMYFUNCTION("""COMPUTED_VALUE"""),"Adidas MY")</f>
        <v>Adidas MY</v>
      </c>
      <c r="C88" s="368" t="str">
        <f>IFERROR(__xludf.DUMMYFUNCTION("""COMPUTED_VALUE"""),"Adidas")</f>
        <v>Adidas</v>
      </c>
      <c r="D88" s="368" t="str">
        <f>IFERROR(__xludf.DUMMYFUNCTION("""COMPUTED_VALUE"""),"Paid by Intrepid")</f>
        <v>Paid by Intrepid</v>
      </c>
      <c r="E88" s="369" t="str">
        <f>IFERROR(__xludf.DUMMYFUNCTION("""COMPUTED_VALUE"""),"Win")</f>
        <v>Win</v>
      </c>
      <c r="F88" s="368"/>
      <c r="G88" s="313" t="str">
        <f>IFERROR(__xludf.DUMMYFUNCTION("""COMPUTED_VALUE"""),"Yee Sin")</f>
        <v>Yee Sin</v>
      </c>
      <c r="H88" s="4">
        <f>IFERROR(__xludf.DUMMYFUNCTION("""COMPUTED_VALUE"""),0.052)</f>
        <v>0.052</v>
      </c>
      <c r="I88" s="4"/>
      <c r="J88" s="4"/>
      <c r="K88" s="4"/>
      <c r="L88" s="221"/>
      <c r="M88" s="157">
        <f>IFERROR(__xludf.DUMMYFUNCTION("""COMPUTED_VALUE"""),3500.0)</f>
        <v>3500</v>
      </c>
      <c r="N88" s="367">
        <f>IFERROR(__xludf.DUMMYFUNCTION("""COMPUTED_VALUE"""),0.0)</f>
        <v>0</v>
      </c>
      <c r="O88" s="164" t="str">
        <f>IFERROR(__xludf.DUMMYFUNCTION("""COMPUTED_VALUE"""),"-")</f>
        <v>-</v>
      </c>
      <c r="P88" s="164">
        <f>IFERROR(__xludf.DUMMYFUNCTION("""COMPUTED_VALUE"""),0.0)</f>
        <v>0</v>
      </c>
      <c r="Q88" s="164">
        <f>IFERROR(__xludf.DUMMYFUNCTION("""COMPUTED_VALUE"""),0.0)</f>
        <v>0</v>
      </c>
      <c r="R88" s="171">
        <f>IFERROR(__xludf.DUMMYFUNCTION("""COMPUTED_VALUE"""),0.0)</f>
        <v>0</v>
      </c>
      <c r="S88" s="171">
        <f>IFERROR(__xludf.DUMMYFUNCTION("""COMPUTED_VALUE"""),0.0)</f>
        <v>0</v>
      </c>
      <c r="T88" s="171">
        <f>IFERROR(__xludf.DUMMYFUNCTION("""COMPUTED_VALUE"""),0.0)</f>
        <v>0</v>
      </c>
      <c r="U88" s="171">
        <f>IFERROR(__xludf.DUMMYFUNCTION("""COMPUTED_VALUE"""),0.0)</f>
        <v>0</v>
      </c>
      <c r="V88" s="171">
        <f>IFERROR(__xludf.DUMMYFUNCTION("""COMPUTED_VALUE"""),0.0)</f>
        <v>0</v>
      </c>
      <c r="W88" s="171">
        <f>IFERROR(__xludf.DUMMYFUNCTION("""COMPUTED_VALUE"""),0.0)</f>
        <v>0</v>
      </c>
      <c r="X88" s="133" t="str">
        <f>IFERROR(__xludf.DUMMYFUNCTION("""COMPUTED_VALUE"""),"0")</f>
        <v>0</v>
      </c>
      <c r="Y88" s="133"/>
      <c r="Z88" s="133"/>
      <c r="AA88" s="133"/>
      <c r="AB88" s="133"/>
      <c r="AC88" s="171"/>
      <c r="AD88" s="17">
        <f>IFERROR(__xludf.DUMMYFUNCTION("""COMPUTED_VALUE"""),0.0)</f>
        <v>0</v>
      </c>
      <c r="AE88" s="17"/>
      <c r="AF88" s="17"/>
      <c r="AG88" s="133"/>
      <c r="AH88" s="133"/>
      <c r="AI88" s="133"/>
      <c r="AJ88" s="133"/>
      <c r="AK88" s="133"/>
      <c r="AL88" s="133"/>
      <c r="AM88" s="17"/>
      <c r="AN88" s="17"/>
      <c r="AO88" s="133"/>
      <c r="AP88" s="17"/>
      <c r="AQ88" s="133"/>
      <c r="AR88" s="133"/>
      <c r="AS88" s="133"/>
      <c r="AT88" s="17"/>
      <c r="AU88" s="133"/>
      <c r="AV88" s="133"/>
      <c r="AW88" s="133"/>
      <c r="AX88" s="17"/>
      <c r="AY88" s="17"/>
      <c r="AZ88" s="17"/>
      <c r="BA88" s="133"/>
      <c r="BB88" s="133"/>
      <c r="BC88" s="17"/>
      <c r="BD88" s="17"/>
      <c r="BE88" s="17"/>
      <c r="BF88" s="17"/>
      <c r="BG88" s="17"/>
      <c r="BH88" s="17"/>
      <c r="BI88" s="17"/>
      <c r="BJ88" s="17"/>
      <c r="BK88" s="17"/>
      <c r="BL88" s="2"/>
      <c r="BM88" s="2"/>
      <c r="BN88" s="2"/>
      <c r="BO88" s="2"/>
      <c r="BP88" s="2"/>
      <c r="BQ88" s="34"/>
      <c r="BR88" s="34"/>
      <c r="BS88" s="25"/>
    </row>
    <row r="89" hidden="1">
      <c r="A89" s="365" t="str">
        <f>IFERROR(__xludf.DUMMYFUNCTION("""COMPUTED_VALUE"""),"April'26")</f>
        <v>April'26</v>
      </c>
      <c r="B89" s="188" t="str">
        <f>IFERROR(__xludf.DUMMYFUNCTION("""COMPUTED_VALUE"""),"Adidas PH")</f>
        <v>Adidas PH</v>
      </c>
      <c r="C89" s="239" t="str">
        <f>IFERROR(__xludf.DUMMYFUNCTION("""COMPUTED_VALUE"""),"Adidas")</f>
        <v>Adidas</v>
      </c>
      <c r="D89" s="239" t="str">
        <f>IFERROR(__xludf.DUMMYFUNCTION("""COMPUTED_VALUE"""),"Paid by Intrepid")</f>
        <v>Paid by Intrepid</v>
      </c>
      <c r="E89" s="366" t="str">
        <f>IFERROR(__xludf.DUMMYFUNCTION("""COMPUTED_VALUE"""),"Win")</f>
        <v>Win</v>
      </c>
      <c r="F89" s="239"/>
      <c r="G89" s="313" t="str">
        <f>IFERROR(__xludf.DUMMYFUNCTION("""COMPUTED_VALUE"""),"Yee Sin")</f>
        <v>Yee Sin</v>
      </c>
      <c r="H89" s="4">
        <f>IFERROR(__xludf.DUMMYFUNCTION("""COMPUTED_VALUE"""),0.052)</f>
        <v>0.052</v>
      </c>
      <c r="I89" s="4"/>
      <c r="J89" s="4"/>
      <c r="K89" s="4"/>
      <c r="M89" s="157"/>
      <c r="N89" s="367">
        <f>IFERROR(__xludf.DUMMYFUNCTION("""COMPUTED_VALUE"""),0.0)</f>
        <v>0</v>
      </c>
      <c r="O89" s="164" t="str">
        <f>IFERROR(__xludf.DUMMYFUNCTION("""COMPUTED_VALUE"""),"-")</f>
        <v>-</v>
      </c>
      <c r="P89" s="164">
        <f>IFERROR(__xludf.DUMMYFUNCTION("""COMPUTED_VALUE"""),0.0)</f>
        <v>0</v>
      </c>
      <c r="Q89" s="164">
        <f>IFERROR(__xludf.DUMMYFUNCTION("""COMPUTED_VALUE"""),0.0)</f>
        <v>0</v>
      </c>
      <c r="R89" s="171">
        <f>IFERROR(__xludf.DUMMYFUNCTION("""COMPUTED_VALUE"""),0.0)</f>
        <v>0</v>
      </c>
      <c r="S89" s="171">
        <f>IFERROR(__xludf.DUMMYFUNCTION("""COMPUTED_VALUE"""),0.0)</f>
        <v>0</v>
      </c>
      <c r="T89" s="171">
        <f>IFERROR(__xludf.DUMMYFUNCTION("""COMPUTED_VALUE"""),0.0)</f>
        <v>0</v>
      </c>
      <c r="U89" s="171">
        <f>IFERROR(__xludf.DUMMYFUNCTION("""COMPUTED_VALUE"""),0.0)</f>
        <v>0</v>
      </c>
      <c r="V89" s="171">
        <f>IFERROR(__xludf.DUMMYFUNCTION("""COMPUTED_VALUE"""),0.0)</f>
        <v>0</v>
      </c>
      <c r="W89" s="171">
        <f>IFERROR(__xludf.DUMMYFUNCTION("""COMPUTED_VALUE"""),0.0)</f>
        <v>0</v>
      </c>
      <c r="X89" s="133" t="str">
        <f>IFERROR(__xludf.DUMMYFUNCTION("""COMPUTED_VALUE"""),"0")</f>
        <v>0</v>
      </c>
      <c r="Y89" s="133"/>
      <c r="Z89" s="133"/>
      <c r="AA89" s="133"/>
      <c r="AB89" s="133"/>
      <c r="AC89" s="171"/>
      <c r="AD89" s="17">
        <f>IFERROR(__xludf.DUMMYFUNCTION("""COMPUTED_VALUE"""),0.0)</f>
        <v>0</v>
      </c>
      <c r="AE89" s="17"/>
      <c r="AF89" s="17"/>
      <c r="AG89" s="133"/>
      <c r="AH89" s="133"/>
      <c r="AI89" s="133"/>
      <c r="AJ89" s="133"/>
      <c r="AK89" s="133"/>
      <c r="AL89" s="133"/>
      <c r="AM89" s="17"/>
      <c r="AN89" s="17"/>
      <c r="AO89" s="133"/>
      <c r="AP89" s="17"/>
      <c r="AQ89" s="133"/>
      <c r="AR89" s="133"/>
      <c r="AS89" s="133"/>
      <c r="AT89" s="17"/>
      <c r="AU89" s="133"/>
      <c r="AV89" s="133"/>
      <c r="AW89" s="133"/>
      <c r="AX89" s="17"/>
      <c r="AY89" s="17"/>
      <c r="AZ89" s="17"/>
      <c r="BA89" s="133"/>
      <c r="BB89" s="133"/>
      <c r="BC89" s="17"/>
      <c r="BD89" s="17"/>
      <c r="BE89" s="17"/>
      <c r="BF89" s="17"/>
      <c r="BG89" s="17"/>
      <c r="BH89" s="17"/>
      <c r="BI89" s="17"/>
      <c r="BJ89" s="17"/>
      <c r="BK89" s="17"/>
      <c r="BL89" s="2"/>
      <c r="BM89" s="2"/>
      <c r="BN89" s="2"/>
      <c r="BO89" s="2"/>
      <c r="BP89" s="133"/>
      <c r="BQ89" s="133"/>
      <c r="BR89" s="133"/>
      <c r="BS89" s="25"/>
    </row>
    <row r="90" hidden="1">
      <c r="A90" s="365" t="str">
        <f>IFERROR(__xludf.DUMMYFUNCTION("""COMPUTED_VALUE"""),"April'26")</f>
        <v>April'26</v>
      </c>
      <c r="B90" s="188" t="str">
        <f>IFERROR(__xludf.DUMMYFUNCTION("""COMPUTED_VALUE"""),"Adidas SG")</f>
        <v>Adidas SG</v>
      </c>
      <c r="C90" s="239" t="str">
        <f>IFERROR(__xludf.DUMMYFUNCTION("""COMPUTED_VALUE"""),"Adidas")</f>
        <v>Adidas</v>
      </c>
      <c r="D90" s="239" t="str">
        <f>IFERROR(__xludf.DUMMYFUNCTION("""COMPUTED_VALUE"""),"Paid by Intrepid")</f>
        <v>Paid by Intrepid</v>
      </c>
      <c r="E90" s="366" t="str">
        <f>IFERROR(__xludf.DUMMYFUNCTION("""COMPUTED_VALUE"""),"Win")</f>
        <v>Win</v>
      </c>
      <c r="F90" s="239"/>
      <c r="G90" s="313" t="str">
        <f>IFERROR(__xludf.DUMMYFUNCTION("""COMPUTED_VALUE"""),"Yee Sin")</f>
        <v>Yee Sin</v>
      </c>
      <c r="H90" s="4">
        <f>IFERROR(__xludf.DUMMYFUNCTION("""COMPUTED_VALUE"""),0.052)</f>
        <v>0.052</v>
      </c>
      <c r="I90" s="4"/>
      <c r="J90" s="4"/>
      <c r="K90" s="4"/>
      <c r="M90" s="157"/>
      <c r="N90" s="367">
        <f>IFERROR(__xludf.DUMMYFUNCTION("""COMPUTED_VALUE"""),0.0)</f>
        <v>0</v>
      </c>
      <c r="O90" s="164" t="str">
        <f>IFERROR(__xludf.DUMMYFUNCTION("""COMPUTED_VALUE"""),"-")</f>
        <v>-</v>
      </c>
      <c r="P90" s="164">
        <f>IFERROR(__xludf.DUMMYFUNCTION("""COMPUTED_VALUE"""),0.0)</f>
        <v>0</v>
      </c>
      <c r="Q90" s="164">
        <f>IFERROR(__xludf.DUMMYFUNCTION("""COMPUTED_VALUE"""),0.0)</f>
        <v>0</v>
      </c>
      <c r="R90" s="171">
        <f>IFERROR(__xludf.DUMMYFUNCTION("""COMPUTED_VALUE"""),0.0)</f>
        <v>0</v>
      </c>
      <c r="S90" s="171">
        <f>IFERROR(__xludf.DUMMYFUNCTION("""COMPUTED_VALUE"""),0.0)</f>
        <v>0</v>
      </c>
      <c r="T90" s="171">
        <f>IFERROR(__xludf.DUMMYFUNCTION("""COMPUTED_VALUE"""),0.0)</f>
        <v>0</v>
      </c>
      <c r="U90" s="171">
        <f>IFERROR(__xludf.DUMMYFUNCTION("""COMPUTED_VALUE"""),0.0)</f>
        <v>0</v>
      </c>
      <c r="V90" s="171">
        <f>IFERROR(__xludf.DUMMYFUNCTION("""COMPUTED_VALUE"""),0.0)</f>
        <v>0</v>
      </c>
      <c r="W90" s="171">
        <f>IFERROR(__xludf.DUMMYFUNCTION("""COMPUTED_VALUE"""),0.0)</f>
        <v>0</v>
      </c>
      <c r="X90" s="133" t="str">
        <f>IFERROR(__xludf.DUMMYFUNCTION("""COMPUTED_VALUE"""),"0")</f>
        <v>0</v>
      </c>
      <c r="Y90" s="133"/>
      <c r="Z90" s="133"/>
      <c r="AA90" s="133"/>
      <c r="AB90" s="133"/>
      <c r="AC90" s="171"/>
      <c r="AD90" s="17">
        <f>IFERROR(__xludf.DUMMYFUNCTION("""COMPUTED_VALUE"""),0.0)</f>
        <v>0</v>
      </c>
      <c r="AE90" s="17"/>
      <c r="AF90" s="17"/>
      <c r="AG90" s="133"/>
      <c r="AH90" s="133"/>
      <c r="AI90" s="133"/>
      <c r="AJ90" s="133"/>
      <c r="AK90" s="133"/>
      <c r="AL90" s="133"/>
      <c r="AM90" s="17"/>
      <c r="AN90" s="17"/>
      <c r="AO90" s="133"/>
      <c r="AP90" s="17"/>
      <c r="AQ90" s="133"/>
      <c r="AR90" s="133"/>
      <c r="AS90" s="133"/>
      <c r="AT90" s="17"/>
      <c r="AU90" s="133"/>
      <c r="AV90" s="133"/>
      <c r="AW90" s="133"/>
      <c r="AX90" s="17"/>
      <c r="AY90" s="17"/>
      <c r="AZ90" s="17"/>
      <c r="BA90" s="133"/>
      <c r="BB90" s="133"/>
      <c r="BC90" s="17"/>
      <c r="BD90" s="17"/>
      <c r="BE90" s="17"/>
      <c r="BF90" s="17"/>
      <c r="BG90" s="17"/>
      <c r="BH90" s="17"/>
      <c r="BI90" s="17"/>
      <c r="BJ90" s="17"/>
      <c r="BK90" s="17"/>
      <c r="BL90" s="2"/>
      <c r="BM90" s="2"/>
      <c r="BN90" s="2"/>
      <c r="BO90" s="2"/>
      <c r="BP90" s="2"/>
      <c r="BQ90" s="2"/>
      <c r="BR90" s="2"/>
      <c r="BS90" s="25"/>
    </row>
    <row r="91" hidden="1">
      <c r="A91" s="133" t="str">
        <f>IFERROR(__xludf.DUMMYFUNCTION("""COMPUTED_VALUE"""),"April'26")</f>
        <v>April'26</v>
      </c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33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5"/>
    </row>
    <row r="92" hidden="1">
      <c r="A92" s="133" t="str">
        <f>IFERROR(__xludf.DUMMYFUNCTION("""COMPUTED_VALUE"""),"April'26")</f>
        <v>April'26</v>
      </c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33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5"/>
    </row>
    <row r="93" hidden="1">
      <c r="A93" s="133" t="str">
        <f>IFERROR(__xludf.DUMMYFUNCTION("""COMPUTED_VALUE"""),"April'26")</f>
        <v>April'26</v>
      </c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33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5"/>
    </row>
    <row r="94" hidden="1">
      <c r="A94" s="133" t="str">
        <f>IFERROR(__xludf.DUMMYFUNCTION("""COMPUTED_VALUE"""),"April'26")</f>
        <v>April'26</v>
      </c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33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5"/>
    </row>
    <row r="95" hidden="1">
      <c r="A95" s="133" t="str">
        <f>IFERROR(__xludf.DUMMYFUNCTION("""COMPUTED_VALUE"""),"April'26")</f>
        <v>April'26</v>
      </c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33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5"/>
    </row>
    <row r="96" hidden="1">
      <c r="A96" s="133" t="str">
        <f>IFERROR(__xludf.DUMMYFUNCTION("""COMPUTED_VALUE"""),"April'26")</f>
        <v>April'26</v>
      </c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3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5"/>
    </row>
    <row r="97" hidden="1">
      <c r="A97" s="133" t="str">
        <f>IFERROR(__xludf.DUMMYFUNCTION("""COMPUTED_VALUE"""),"April'26")</f>
        <v>April'26</v>
      </c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13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5"/>
    </row>
    <row r="98" hidden="1">
      <c r="A98" s="133" t="str">
        <f>IFERROR(__xludf.DUMMYFUNCTION("""COMPUTED_VALUE"""),"April'26")</f>
        <v>April'26</v>
      </c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13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5"/>
    </row>
    <row r="99" hidden="1">
      <c r="A99" s="133" t="str">
        <f>IFERROR(__xludf.DUMMYFUNCTION("""COMPUTED_VALUE"""),"April'26")</f>
        <v>April'26</v>
      </c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133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5"/>
    </row>
    <row r="100" hidden="1">
      <c r="A100" s="133" t="str">
        <f>IFERROR(__xludf.DUMMYFUNCTION("""COMPUTED_VALUE"""),"April'26")</f>
        <v>April'26</v>
      </c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3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5"/>
    </row>
    <row r="101" hidden="1">
      <c r="A101" s="133" t="str">
        <f>IFERROR(__xludf.DUMMYFUNCTION("""COMPUTED_VALUE"""),"April'26")</f>
        <v>April'26</v>
      </c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3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5"/>
    </row>
    <row r="102" hidden="1">
      <c r="A102" s="133" t="str">
        <f>IFERROR(__xludf.DUMMYFUNCTION("""COMPUTED_VALUE"""),"April'26")</f>
        <v>April'26</v>
      </c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3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5"/>
    </row>
    <row r="103" hidden="1">
      <c r="A103" s="133" t="str">
        <f>IFERROR(__xludf.DUMMYFUNCTION("""COMPUTED_VALUE"""),"April'26")</f>
        <v>April'26</v>
      </c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13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5"/>
    </row>
    <row r="104" hidden="1">
      <c r="A104" s="133" t="str">
        <f>IFERROR(__xludf.DUMMYFUNCTION("""COMPUTED_VALUE"""),"April'26")</f>
        <v>April'26</v>
      </c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3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5"/>
    </row>
    <row r="105" hidden="1">
      <c r="A105" s="133" t="str">
        <f>IFERROR(__xludf.DUMMYFUNCTION("""COMPUTED_VALUE"""),"April'26")</f>
        <v>April'26</v>
      </c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13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5"/>
    </row>
    <row r="106" hidden="1">
      <c r="A106" s="133" t="str">
        <f>IFERROR(__xludf.DUMMYFUNCTION("""COMPUTED_VALUE"""),"April'26")</f>
        <v>April'26</v>
      </c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13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5"/>
    </row>
    <row r="107" hidden="1">
      <c r="A107" s="133" t="str">
        <f>IFERROR(__xludf.DUMMYFUNCTION("""COMPUTED_VALUE"""),"April'26")</f>
        <v>April'26</v>
      </c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3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5"/>
    </row>
    <row r="108" hidden="1">
      <c r="A108" s="133" t="str">
        <f>IFERROR(__xludf.DUMMYFUNCTION("""COMPUTED_VALUE"""),"April'26")</f>
        <v>April'26</v>
      </c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3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5"/>
    </row>
    <row r="109" hidden="1">
      <c r="A109" s="133" t="str">
        <f>IFERROR(__xludf.DUMMYFUNCTION("""COMPUTED_VALUE"""),"April'26")</f>
        <v>April'26</v>
      </c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33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5"/>
    </row>
    <row r="110" hidden="1">
      <c r="A110" s="133" t="str">
        <f>IFERROR(__xludf.DUMMYFUNCTION("""COMPUTED_VALUE"""),"April'26")</f>
        <v>April'26</v>
      </c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33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5"/>
    </row>
    <row r="111" hidden="1">
      <c r="A111" s="133" t="str">
        <f>IFERROR(__xludf.DUMMYFUNCTION("""COMPUTED_VALUE"""),"April'26")</f>
        <v>April'26</v>
      </c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13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5"/>
    </row>
    <row r="112" hidden="1">
      <c r="A112" s="133" t="str">
        <f>IFERROR(__xludf.DUMMYFUNCTION("""COMPUTED_VALUE"""),"April'26")</f>
        <v>April'26</v>
      </c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3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5"/>
    </row>
    <row r="113" hidden="1">
      <c r="A113" s="133" t="str">
        <f>IFERROR(__xludf.DUMMYFUNCTION("""COMPUTED_VALUE"""),"April'26")</f>
        <v>April'26</v>
      </c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13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5"/>
    </row>
    <row r="114" hidden="1">
      <c r="A114" s="133" t="str">
        <f>IFERROR(__xludf.DUMMYFUNCTION("""COMPUTED_VALUE"""),"April'26")</f>
        <v>April'26</v>
      </c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3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5"/>
    </row>
    <row r="115" hidden="1">
      <c r="A115" s="133" t="str">
        <f>IFERROR(__xludf.DUMMYFUNCTION("""COMPUTED_VALUE"""),"April'26")</f>
        <v>April'26</v>
      </c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3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5"/>
    </row>
    <row r="116" hidden="1">
      <c r="A116" s="133" t="str">
        <f>IFERROR(__xludf.DUMMYFUNCTION("""COMPUTED_VALUE"""),"April'26")</f>
        <v>April'26</v>
      </c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33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5"/>
    </row>
    <row r="117" hidden="1">
      <c r="A117" s="133" t="str">
        <f>IFERROR(__xludf.DUMMYFUNCTION("""COMPUTED_VALUE"""),"April'26")</f>
        <v>April'26</v>
      </c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3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5"/>
    </row>
    <row r="118" hidden="1">
      <c r="A118" s="133" t="str">
        <f>IFERROR(__xludf.DUMMYFUNCTION("""COMPUTED_VALUE"""),"April'26")</f>
        <v>April'26</v>
      </c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3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5"/>
    </row>
    <row r="119" hidden="1">
      <c r="A119" s="133" t="str">
        <f>IFERROR(__xludf.DUMMYFUNCTION("""COMPUTED_VALUE"""),"April'26")</f>
        <v>April'26</v>
      </c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33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5"/>
    </row>
    <row r="120" hidden="1">
      <c r="A120" s="133" t="str">
        <f>IFERROR(__xludf.DUMMYFUNCTION("""COMPUTED_VALUE"""),"April'26")</f>
        <v>April'26</v>
      </c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33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5"/>
    </row>
    <row r="121" hidden="1">
      <c r="A121" s="133" t="str">
        <f>IFERROR(__xludf.DUMMYFUNCTION("""COMPUTED_VALUE"""),"April'26")</f>
        <v>April'26</v>
      </c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3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5"/>
    </row>
    <row r="122" hidden="1">
      <c r="A122" s="133" t="str">
        <f>IFERROR(__xludf.DUMMYFUNCTION("""COMPUTED_VALUE"""),"April'26")</f>
        <v>April'26</v>
      </c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133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5"/>
    </row>
    <row r="123" hidden="1">
      <c r="A123" s="133" t="str">
        <f>IFERROR(__xludf.DUMMYFUNCTION("""COMPUTED_VALUE"""),"April'26")</f>
        <v>April'26</v>
      </c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3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5"/>
    </row>
    <row r="124" hidden="1">
      <c r="A124" s="133" t="str">
        <f>IFERROR(__xludf.DUMMYFUNCTION("""COMPUTED_VALUE"""),"April'26")</f>
        <v>April'26</v>
      </c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3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5"/>
    </row>
    <row r="125" hidden="1">
      <c r="A125" s="133" t="str">
        <f>IFERROR(__xludf.DUMMYFUNCTION("""COMPUTED_VALUE"""),"April'26")</f>
        <v>April'26</v>
      </c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3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5"/>
    </row>
    <row r="126" hidden="1">
      <c r="A126" s="133" t="str">
        <f>IFERROR(__xludf.DUMMYFUNCTION("""COMPUTED_VALUE"""),"April'26")</f>
        <v>April'26</v>
      </c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33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5"/>
    </row>
    <row r="127" hidden="1">
      <c r="A127" s="133" t="str">
        <f>IFERROR(__xludf.DUMMYFUNCTION("""COMPUTED_VALUE"""),"April'26")</f>
        <v>April'26</v>
      </c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33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5"/>
    </row>
    <row r="128" hidden="1">
      <c r="A128" s="133" t="str">
        <f>IFERROR(__xludf.DUMMYFUNCTION("""COMPUTED_VALUE"""),"April'26")</f>
        <v>April'26</v>
      </c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3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5"/>
    </row>
    <row r="129" hidden="1">
      <c r="A129" s="133" t="str">
        <f>IFERROR(__xludf.DUMMYFUNCTION("""COMPUTED_VALUE"""),"April'26")</f>
        <v>April'26</v>
      </c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3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5"/>
    </row>
    <row r="130" hidden="1">
      <c r="A130" s="133" t="str">
        <f>IFERROR(__xludf.DUMMYFUNCTION("""COMPUTED_VALUE"""),"April'26")</f>
        <v>April'26</v>
      </c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3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5"/>
    </row>
    <row r="131" hidden="1">
      <c r="A131" s="133" t="str">
        <f>IFERROR(__xludf.DUMMYFUNCTION("""COMPUTED_VALUE"""),"April'26")</f>
        <v>April'26</v>
      </c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33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5"/>
    </row>
    <row r="132" hidden="1">
      <c r="A132" s="133" t="str">
        <f>IFERROR(__xludf.DUMMYFUNCTION("""COMPUTED_VALUE"""),"April'26")</f>
        <v>April'26</v>
      </c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3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5"/>
    </row>
    <row r="133" hidden="1">
      <c r="A133" s="133" t="str">
        <f>IFERROR(__xludf.DUMMYFUNCTION("""COMPUTED_VALUE"""),"April'26")</f>
        <v>April'26</v>
      </c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3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5"/>
    </row>
    <row r="134" hidden="1">
      <c r="A134" s="133" t="str">
        <f>IFERROR(__xludf.DUMMYFUNCTION("""COMPUTED_VALUE"""),"April'26")</f>
        <v>April'26</v>
      </c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3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5"/>
    </row>
    <row r="135" hidden="1">
      <c r="A135" s="133" t="str">
        <f>IFERROR(__xludf.DUMMYFUNCTION("""COMPUTED_VALUE"""),"April'26")</f>
        <v>April'26</v>
      </c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3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5"/>
    </row>
    <row r="136" hidden="1">
      <c r="A136" s="133" t="str">
        <f>IFERROR(__xludf.DUMMYFUNCTION("""COMPUTED_VALUE"""),"April'26")</f>
        <v>April'26</v>
      </c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3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5"/>
    </row>
    <row r="137" hidden="1">
      <c r="A137" s="133" t="str">
        <f>IFERROR(__xludf.DUMMYFUNCTION("""COMPUTED_VALUE"""),"April'26")</f>
        <v>April'26</v>
      </c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33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5"/>
    </row>
    <row r="138" hidden="1">
      <c r="A138" s="133" t="str">
        <f>IFERROR(__xludf.DUMMYFUNCTION("""COMPUTED_VALUE"""),"April'26")</f>
        <v>April'26</v>
      </c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33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5"/>
    </row>
    <row r="139" hidden="1">
      <c r="A139" s="133" t="str">
        <f>IFERROR(__xludf.DUMMYFUNCTION("""COMPUTED_VALUE"""),"April'26")</f>
        <v>April'26</v>
      </c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3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5"/>
    </row>
    <row r="140" hidden="1">
      <c r="A140" s="133" t="str">
        <f>IFERROR(__xludf.DUMMYFUNCTION("""COMPUTED_VALUE"""),"April'26")</f>
        <v>April'26</v>
      </c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33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5"/>
    </row>
    <row r="141" hidden="1">
      <c r="A141" s="133" t="str">
        <f>IFERROR(__xludf.DUMMYFUNCTION("""COMPUTED_VALUE"""),"April'26")</f>
        <v>April'26</v>
      </c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33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5"/>
    </row>
    <row r="142" hidden="1">
      <c r="A142" s="133" t="str">
        <f>IFERROR(__xludf.DUMMYFUNCTION("""COMPUTED_VALUE"""),"April'26")</f>
        <v>April'26</v>
      </c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33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5"/>
    </row>
    <row r="143" hidden="1">
      <c r="A143" s="133" t="str">
        <f>IFERROR(__xludf.DUMMYFUNCTION("""COMPUTED_VALUE"""),"April'26")</f>
        <v>April'26</v>
      </c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33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5"/>
    </row>
    <row r="144" hidden="1">
      <c r="A144" s="133" t="str">
        <f>IFERROR(__xludf.DUMMYFUNCTION("""COMPUTED_VALUE"""),"April'26")</f>
        <v>April'26</v>
      </c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3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5"/>
    </row>
    <row r="145" hidden="1">
      <c r="A145" s="133" t="str">
        <f>IFERROR(__xludf.DUMMYFUNCTION("""COMPUTED_VALUE"""),"April'26")</f>
        <v>April'26</v>
      </c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33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5"/>
    </row>
    <row r="146" hidden="1">
      <c r="A146" s="133" t="str">
        <f>IFERROR(__xludf.DUMMYFUNCTION("""COMPUTED_VALUE"""),"April'26")</f>
        <v>April'26</v>
      </c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3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5"/>
    </row>
    <row r="147" hidden="1">
      <c r="A147" s="133" t="str">
        <f>IFERROR(__xludf.DUMMYFUNCTION("""COMPUTED_VALUE"""),"April'26")</f>
        <v>April'26</v>
      </c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33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5"/>
    </row>
    <row r="148" hidden="1">
      <c r="A148" s="133" t="str">
        <f>IFERROR(__xludf.DUMMYFUNCTION("""COMPUTED_VALUE"""),"April'26")</f>
        <v>April'26</v>
      </c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33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5"/>
    </row>
    <row r="149" hidden="1">
      <c r="A149" s="133" t="str">
        <f>IFERROR(__xludf.DUMMYFUNCTION("""COMPUTED_VALUE"""),"April'26")</f>
        <v>April'26</v>
      </c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3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5"/>
    </row>
    <row r="150" hidden="1">
      <c r="A150" s="133" t="str">
        <f>IFERROR(__xludf.DUMMYFUNCTION("""COMPUTED_VALUE"""),"April'26")</f>
        <v>April'26</v>
      </c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33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5"/>
    </row>
    <row r="151" hidden="1">
      <c r="A151" s="133" t="str">
        <f>IFERROR(__xludf.DUMMYFUNCTION("""COMPUTED_VALUE"""),"April'26")</f>
        <v>April'26</v>
      </c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33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5"/>
    </row>
    <row r="152" hidden="1">
      <c r="A152" s="133" t="str">
        <f>IFERROR(__xludf.DUMMYFUNCTION("""COMPUTED_VALUE"""),"April'26")</f>
        <v>April'26</v>
      </c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33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5"/>
    </row>
    <row r="153" hidden="1">
      <c r="A153" s="133" t="str">
        <f>IFERROR(__xludf.DUMMYFUNCTION("""COMPUTED_VALUE"""),"April'26")</f>
        <v>April'26</v>
      </c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33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5"/>
    </row>
    <row r="154" hidden="1">
      <c r="A154" s="133" t="str">
        <f>IFERROR(__xludf.DUMMYFUNCTION("""COMPUTED_VALUE"""),"April'26")</f>
        <v>April'26</v>
      </c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33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5"/>
    </row>
    <row r="155" hidden="1">
      <c r="A155" s="133" t="str">
        <f>IFERROR(__xludf.DUMMYFUNCTION("""COMPUTED_VALUE"""),"April'26")</f>
        <v>April'26</v>
      </c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33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5"/>
    </row>
    <row r="156" hidden="1">
      <c r="A156" s="133" t="str">
        <f>IFERROR(__xludf.DUMMYFUNCTION("""COMPUTED_VALUE"""),"April'26")</f>
        <v>April'26</v>
      </c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33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5"/>
    </row>
    <row r="157" hidden="1">
      <c r="A157" s="133" t="str">
        <f>IFERROR(__xludf.DUMMYFUNCTION("""COMPUTED_VALUE"""),"April'26")</f>
        <v>April'26</v>
      </c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33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5"/>
    </row>
    <row r="158" hidden="1">
      <c r="A158" s="133" t="str">
        <f>IFERROR(__xludf.DUMMYFUNCTION("""COMPUTED_VALUE"""),"April'26")</f>
        <v>April'26</v>
      </c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33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5"/>
    </row>
    <row r="159" hidden="1">
      <c r="A159" s="133" t="str">
        <f>IFERROR(__xludf.DUMMYFUNCTION("""COMPUTED_VALUE"""),"April'26")</f>
        <v>April'26</v>
      </c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33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5"/>
    </row>
    <row r="160" hidden="1">
      <c r="A160" s="133" t="str">
        <f>IFERROR(__xludf.DUMMYFUNCTION("""COMPUTED_VALUE"""),"April'26")</f>
        <v>April'26</v>
      </c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33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5"/>
    </row>
    <row r="161" hidden="1">
      <c r="A161" s="133" t="str">
        <f>IFERROR(__xludf.DUMMYFUNCTION("""COMPUTED_VALUE"""),"April'26")</f>
        <v>April'26</v>
      </c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33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5"/>
    </row>
    <row r="162" hidden="1">
      <c r="A162" s="133" t="str">
        <f>IFERROR(__xludf.DUMMYFUNCTION("""COMPUTED_VALUE"""),"April'26")</f>
        <v>April'26</v>
      </c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3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5"/>
    </row>
    <row r="163" hidden="1">
      <c r="A163" s="133" t="str">
        <f>IFERROR(__xludf.DUMMYFUNCTION("""COMPUTED_VALUE"""),"April'26")</f>
        <v>April'26</v>
      </c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3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5"/>
    </row>
    <row r="164" hidden="1">
      <c r="A164" s="133" t="str">
        <f>IFERROR(__xludf.DUMMYFUNCTION("""COMPUTED_VALUE"""),"April'26")</f>
        <v>April'26</v>
      </c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33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5"/>
    </row>
    <row r="165" hidden="1">
      <c r="A165" s="133" t="str">
        <f>IFERROR(__xludf.DUMMYFUNCTION("""COMPUTED_VALUE"""),"April'26")</f>
        <v>April'26</v>
      </c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33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5"/>
    </row>
    <row r="166" hidden="1">
      <c r="A166" s="133" t="str">
        <f>IFERROR(__xludf.DUMMYFUNCTION("""COMPUTED_VALUE"""),"April'26")</f>
        <v>April'26</v>
      </c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33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5"/>
    </row>
    <row r="167" hidden="1">
      <c r="A167" s="133" t="str">
        <f>IFERROR(__xludf.DUMMYFUNCTION("""COMPUTED_VALUE"""),"April'26")</f>
        <v>April'26</v>
      </c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33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5"/>
    </row>
    <row r="168" hidden="1">
      <c r="A168" s="133" t="str">
        <f>IFERROR(__xludf.DUMMYFUNCTION("""COMPUTED_VALUE"""),"April'26")</f>
        <v>April'26</v>
      </c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33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5"/>
    </row>
    <row r="169" hidden="1">
      <c r="A169" s="133" t="str">
        <f>IFERROR(__xludf.DUMMYFUNCTION("""COMPUTED_VALUE"""),"April'26")</f>
        <v>April'26</v>
      </c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3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5"/>
    </row>
    <row r="170" hidden="1">
      <c r="A170" s="133" t="str">
        <f>IFERROR(__xludf.DUMMYFUNCTION("""COMPUTED_VALUE"""),"April'26")</f>
        <v>April'26</v>
      </c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3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5"/>
    </row>
    <row r="171" hidden="1">
      <c r="A171" s="133" t="str">
        <f>IFERROR(__xludf.DUMMYFUNCTION("""COMPUTED_VALUE"""),"April'26")</f>
        <v>April'26</v>
      </c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3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5"/>
    </row>
    <row r="172" hidden="1">
      <c r="A172" s="133" t="str">
        <f>IFERROR(__xludf.DUMMYFUNCTION("""COMPUTED_VALUE"""),"April'26")</f>
        <v>April'26</v>
      </c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3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5"/>
    </row>
    <row r="173" hidden="1">
      <c r="A173" s="133" t="str">
        <f>IFERROR(__xludf.DUMMYFUNCTION("""COMPUTED_VALUE"""),"April'26")</f>
        <v>April'26</v>
      </c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3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5"/>
    </row>
    <row r="174" hidden="1">
      <c r="A174" s="133" t="str">
        <f>IFERROR(__xludf.DUMMYFUNCTION("""COMPUTED_VALUE"""),"April'26")</f>
        <v>April'26</v>
      </c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3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5"/>
    </row>
    <row r="175" hidden="1">
      <c r="A175" s="133" t="str">
        <f>IFERROR(__xludf.DUMMYFUNCTION("""COMPUTED_VALUE"""),"April'26")</f>
        <v>April'26</v>
      </c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3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5"/>
    </row>
    <row r="176" hidden="1">
      <c r="A176" s="133" t="str">
        <f>IFERROR(__xludf.DUMMYFUNCTION("""COMPUTED_VALUE"""),"April'26")</f>
        <v>April'26</v>
      </c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13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5"/>
    </row>
    <row r="177" hidden="1">
      <c r="A177" s="133" t="str">
        <f>IFERROR(__xludf.DUMMYFUNCTION("""COMPUTED_VALUE"""),"April'26")</f>
        <v>April'26</v>
      </c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13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5"/>
    </row>
    <row r="178" hidden="1">
      <c r="A178" s="133" t="str">
        <f>IFERROR(__xludf.DUMMYFUNCTION("""COMPUTED_VALUE"""),"April'26")</f>
        <v>April'26</v>
      </c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13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5"/>
    </row>
    <row r="179" hidden="1">
      <c r="A179" s="133" t="str">
        <f>IFERROR(__xludf.DUMMYFUNCTION("""COMPUTED_VALUE"""),"April'26")</f>
        <v>April'26</v>
      </c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13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5"/>
    </row>
    <row r="180" hidden="1">
      <c r="A180" s="133" t="str">
        <f>IFERROR(__xludf.DUMMYFUNCTION("""COMPUTED_VALUE"""),"April'26")</f>
        <v>April'26</v>
      </c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13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5"/>
    </row>
    <row r="181" hidden="1">
      <c r="A181" s="133" t="str">
        <f>IFERROR(__xludf.DUMMYFUNCTION("""COMPUTED_VALUE"""),"April'26")</f>
        <v>April'26</v>
      </c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13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5"/>
    </row>
    <row r="182" hidden="1">
      <c r="A182" s="133" t="str">
        <f>IFERROR(__xludf.DUMMYFUNCTION("""COMPUTED_VALUE"""),"April'26")</f>
        <v>April'26</v>
      </c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3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5"/>
    </row>
    <row r="183" hidden="1">
      <c r="A183" s="133" t="str">
        <f>IFERROR(__xludf.DUMMYFUNCTION("""COMPUTED_VALUE"""),"April'26")</f>
        <v>April'26</v>
      </c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3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5"/>
    </row>
    <row r="184" hidden="1">
      <c r="A184" s="133" t="str">
        <f>IFERROR(__xludf.DUMMYFUNCTION("""COMPUTED_VALUE"""),"April'26")</f>
        <v>April'26</v>
      </c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13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5"/>
    </row>
    <row r="185" hidden="1">
      <c r="A185" s="133" t="str">
        <f>IFERROR(__xludf.DUMMYFUNCTION("""COMPUTED_VALUE"""),"April'26")</f>
        <v>April'26</v>
      </c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13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5"/>
    </row>
    <row r="186" hidden="1">
      <c r="A186" s="133" t="str">
        <f>IFERROR(__xludf.DUMMYFUNCTION("""COMPUTED_VALUE"""),"April'26")</f>
        <v>April'26</v>
      </c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13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5"/>
    </row>
    <row r="187" hidden="1">
      <c r="A187" s="133" t="str">
        <f>IFERROR(__xludf.DUMMYFUNCTION("""COMPUTED_VALUE"""),"April'26")</f>
        <v>April'26</v>
      </c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13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5"/>
    </row>
    <row r="188" hidden="1">
      <c r="A188" s="133" t="str">
        <f>IFERROR(__xludf.DUMMYFUNCTION("""COMPUTED_VALUE"""),"April'26")</f>
        <v>April'26</v>
      </c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13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5"/>
    </row>
    <row r="189" hidden="1">
      <c r="A189" s="133" t="str">
        <f>IFERROR(__xludf.DUMMYFUNCTION("""COMPUTED_VALUE"""),"April'26")</f>
        <v>April'26</v>
      </c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13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5"/>
    </row>
    <row r="190" hidden="1">
      <c r="A190" s="133" t="str">
        <f>IFERROR(__xludf.DUMMYFUNCTION("""COMPUTED_VALUE"""),"April'26")</f>
        <v>April'26</v>
      </c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3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5"/>
    </row>
    <row r="191" hidden="1">
      <c r="A191" s="133" t="str">
        <f>IFERROR(__xludf.DUMMYFUNCTION("""COMPUTED_VALUE"""),"April'26")</f>
        <v>April'26</v>
      </c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3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5"/>
    </row>
    <row r="192" hidden="1">
      <c r="A192" s="133" t="str">
        <f>IFERROR(__xludf.DUMMYFUNCTION("""COMPUTED_VALUE"""),"April'26")</f>
        <v>April'26</v>
      </c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3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5"/>
    </row>
    <row r="193" hidden="1">
      <c r="A193" s="133" t="str">
        <f>IFERROR(__xludf.DUMMYFUNCTION("""COMPUTED_VALUE"""),"April'26")</f>
        <v>April'26</v>
      </c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13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5"/>
    </row>
    <row r="194" hidden="1">
      <c r="A194" s="133" t="str">
        <f>IFERROR(__xludf.DUMMYFUNCTION("""COMPUTED_VALUE"""),"April'26")</f>
        <v>April'26</v>
      </c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13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5"/>
    </row>
    <row r="195" hidden="1">
      <c r="A195" s="133" t="str">
        <f>IFERROR(__xludf.DUMMYFUNCTION("""COMPUTED_VALUE"""),"April'26")</f>
        <v>April'26</v>
      </c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3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5"/>
    </row>
    <row r="196" hidden="1">
      <c r="A196" s="133" t="str">
        <f>IFERROR(__xludf.DUMMYFUNCTION("""COMPUTED_VALUE"""),"April'26")</f>
        <v>April'26</v>
      </c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3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5"/>
    </row>
    <row r="197" hidden="1">
      <c r="A197" s="133" t="str">
        <f>IFERROR(__xludf.DUMMYFUNCTION("""COMPUTED_VALUE"""),"April'26")</f>
        <v>April'26</v>
      </c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3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5"/>
    </row>
    <row r="198" hidden="1">
      <c r="A198" s="133" t="str">
        <f>IFERROR(__xludf.DUMMYFUNCTION("""COMPUTED_VALUE"""),"April'26")</f>
        <v>April'26</v>
      </c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3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5"/>
    </row>
    <row r="199" hidden="1">
      <c r="A199" s="133" t="str">
        <f>IFERROR(__xludf.DUMMYFUNCTION("""COMPUTED_VALUE"""),"April'26")</f>
        <v>April'26</v>
      </c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3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5"/>
    </row>
    <row r="200" hidden="1">
      <c r="A200" s="133" t="str">
        <f>IFERROR(__xludf.DUMMYFUNCTION("""COMPUTED_VALUE"""),"April'26")</f>
        <v>April'26</v>
      </c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3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5"/>
    </row>
    <row r="201" hidden="1">
      <c r="A201" s="133" t="str">
        <f>IFERROR(__xludf.DUMMYFUNCTION("""COMPUTED_VALUE"""),"April'26")</f>
        <v>April'26</v>
      </c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3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5"/>
    </row>
    <row r="202" hidden="1">
      <c r="A202" s="133" t="str">
        <f>IFERROR(__xludf.DUMMYFUNCTION("""COMPUTED_VALUE"""),"April'26")</f>
        <v>April'26</v>
      </c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3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5"/>
    </row>
    <row r="203" hidden="1">
      <c r="A203" s="133" t="str">
        <f>IFERROR(__xludf.DUMMYFUNCTION("""COMPUTED_VALUE"""),"April'26")</f>
        <v>April'26</v>
      </c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3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5"/>
    </row>
    <row r="204" hidden="1">
      <c r="A204" s="133" t="str">
        <f>IFERROR(__xludf.DUMMYFUNCTION("""COMPUTED_VALUE"""),"April'26")</f>
        <v>April'26</v>
      </c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3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5"/>
    </row>
    <row r="205" hidden="1">
      <c r="A205" s="133" t="str">
        <f>IFERROR(__xludf.DUMMYFUNCTION("""COMPUTED_VALUE"""),"April'26")</f>
        <v>April'26</v>
      </c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3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5"/>
    </row>
    <row r="206" hidden="1">
      <c r="A206" s="133" t="str">
        <f>IFERROR(__xludf.DUMMYFUNCTION("""COMPUTED_VALUE"""),"April'26")</f>
        <v>April'26</v>
      </c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3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5"/>
    </row>
    <row r="207" hidden="1">
      <c r="A207" s="133" t="str">
        <f>IFERROR(__xludf.DUMMYFUNCTION("""COMPUTED_VALUE"""),"April'26")</f>
        <v>April'26</v>
      </c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3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5"/>
    </row>
    <row r="208" hidden="1">
      <c r="A208" s="133" t="str">
        <f>IFERROR(__xludf.DUMMYFUNCTION("""COMPUTED_VALUE"""),"April'26")</f>
        <v>April'26</v>
      </c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3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5"/>
    </row>
    <row r="209" hidden="1">
      <c r="A209" s="133" t="str">
        <f>IFERROR(__xludf.DUMMYFUNCTION("""COMPUTED_VALUE"""),"April'26")</f>
        <v>April'26</v>
      </c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3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5"/>
    </row>
    <row r="210" hidden="1">
      <c r="A210" s="133" t="str">
        <f>IFERROR(__xludf.DUMMYFUNCTION("""COMPUTED_VALUE"""),"April'26")</f>
        <v>April'26</v>
      </c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3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5"/>
    </row>
    <row r="211" hidden="1">
      <c r="A211" s="133" t="str">
        <f>IFERROR(__xludf.DUMMYFUNCTION("""COMPUTED_VALUE"""),"April'26")</f>
        <v>April'26</v>
      </c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3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5"/>
    </row>
    <row r="212" hidden="1">
      <c r="A212" s="133" t="str">
        <f>IFERROR(__xludf.DUMMYFUNCTION("""COMPUTED_VALUE"""),"April'26")</f>
        <v>April'26</v>
      </c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3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5"/>
    </row>
    <row r="213" hidden="1">
      <c r="A213" s="133" t="str">
        <f>IFERROR(__xludf.DUMMYFUNCTION("""COMPUTED_VALUE"""),"April'26")</f>
        <v>April'26</v>
      </c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3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5"/>
    </row>
    <row r="214" hidden="1">
      <c r="A214" s="133" t="str">
        <f>IFERROR(__xludf.DUMMYFUNCTION("""COMPUTED_VALUE"""),"April'26")</f>
        <v>April'26</v>
      </c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3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5"/>
    </row>
    <row r="215" hidden="1">
      <c r="A215" s="133" t="str">
        <f>IFERROR(__xludf.DUMMYFUNCTION("""COMPUTED_VALUE"""),"April'26")</f>
        <v>April'26</v>
      </c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3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5"/>
    </row>
    <row r="216" hidden="1">
      <c r="A216" s="133" t="str">
        <f>IFERROR(__xludf.DUMMYFUNCTION("""COMPUTED_VALUE"""),"April'26")</f>
        <v>April'26</v>
      </c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3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5"/>
    </row>
    <row r="217" hidden="1">
      <c r="A217" s="133" t="str">
        <f>IFERROR(__xludf.DUMMYFUNCTION("""COMPUTED_VALUE"""),"April'26")</f>
        <v>April'26</v>
      </c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3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5"/>
    </row>
    <row r="218" hidden="1">
      <c r="A218" s="133" t="str">
        <f>IFERROR(__xludf.DUMMYFUNCTION("""COMPUTED_VALUE"""),"April'26")</f>
        <v>April'26</v>
      </c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3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5"/>
    </row>
    <row r="219" hidden="1">
      <c r="A219" s="133" t="str">
        <f>IFERROR(__xludf.DUMMYFUNCTION("""COMPUTED_VALUE"""),"April'26")</f>
        <v>April'26</v>
      </c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3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5"/>
    </row>
    <row r="220" hidden="1">
      <c r="A220" s="133" t="str">
        <f>IFERROR(__xludf.DUMMYFUNCTION("""COMPUTED_VALUE"""),"April'26")</f>
        <v>April'26</v>
      </c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3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5"/>
    </row>
    <row r="221" hidden="1">
      <c r="A221" s="133" t="str">
        <f>IFERROR(__xludf.DUMMYFUNCTION("""COMPUTED_VALUE"""),"April'26")</f>
        <v>April'26</v>
      </c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3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5"/>
    </row>
    <row r="222" hidden="1">
      <c r="A222" s="133" t="str">
        <f>IFERROR(__xludf.DUMMYFUNCTION("""COMPUTED_VALUE"""),"April'26")</f>
        <v>April'26</v>
      </c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3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5"/>
    </row>
    <row r="223" hidden="1">
      <c r="A223" s="133" t="str">
        <f>IFERROR(__xludf.DUMMYFUNCTION("""COMPUTED_VALUE"""),"April'26")</f>
        <v>April'26</v>
      </c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3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5"/>
    </row>
    <row r="224" hidden="1">
      <c r="A224" s="133" t="str">
        <f>IFERROR(__xludf.DUMMYFUNCTION("""COMPUTED_VALUE"""),"April'26")</f>
        <v>April'26</v>
      </c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3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5"/>
    </row>
    <row r="225" hidden="1">
      <c r="A225" s="133" t="str">
        <f>IFERROR(__xludf.DUMMYFUNCTION("""COMPUTED_VALUE"""),"April'26")</f>
        <v>April'26</v>
      </c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3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5"/>
    </row>
    <row r="226" hidden="1">
      <c r="A226" s="133" t="str">
        <f>IFERROR(__xludf.DUMMYFUNCTION("""COMPUTED_VALUE"""),"April'26")</f>
        <v>April'26</v>
      </c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3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5"/>
    </row>
    <row r="227" hidden="1">
      <c r="A227" s="133" t="str">
        <f>IFERROR(__xludf.DUMMYFUNCTION("""COMPUTED_VALUE"""),"April'26")</f>
        <v>April'26</v>
      </c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3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5"/>
    </row>
    <row r="228" hidden="1">
      <c r="A228" s="133" t="str">
        <f>IFERROR(__xludf.DUMMYFUNCTION("""COMPUTED_VALUE"""),"April'26")</f>
        <v>April'26</v>
      </c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3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5"/>
    </row>
    <row r="229" hidden="1">
      <c r="A229" s="133" t="str">
        <f>IFERROR(__xludf.DUMMYFUNCTION("""COMPUTED_VALUE"""),"April'26")</f>
        <v>April'26</v>
      </c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3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5"/>
    </row>
    <row r="230" hidden="1">
      <c r="A230" s="133" t="str">
        <f>IFERROR(__xludf.DUMMYFUNCTION("""COMPUTED_VALUE"""),"April'26")</f>
        <v>April'26</v>
      </c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3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5"/>
    </row>
    <row r="231" hidden="1">
      <c r="A231" s="133" t="str">
        <f>IFERROR(__xludf.DUMMYFUNCTION("""COMPUTED_VALUE"""),"April'26")</f>
        <v>April'26</v>
      </c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3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5"/>
    </row>
    <row r="232" hidden="1">
      <c r="A232" s="133" t="str">
        <f>IFERROR(__xludf.DUMMYFUNCTION("""COMPUTED_VALUE"""),"April'26")</f>
        <v>April'26</v>
      </c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3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5"/>
    </row>
    <row r="233" hidden="1">
      <c r="A233" s="133" t="str">
        <f>IFERROR(__xludf.DUMMYFUNCTION("""COMPUTED_VALUE"""),"April'26")</f>
        <v>April'26</v>
      </c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3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5"/>
    </row>
    <row r="234" hidden="1">
      <c r="A234" s="133" t="str">
        <f>IFERROR(__xludf.DUMMYFUNCTION("""COMPUTED_VALUE"""),"April'26")</f>
        <v>April'26</v>
      </c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3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5"/>
    </row>
    <row r="235" hidden="1">
      <c r="A235" s="133" t="str">
        <f>IFERROR(__xludf.DUMMYFUNCTION("""COMPUTED_VALUE"""),"April'26")</f>
        <v>April'26</v>
      </c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3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5"/>
    </row>
    <row r="236" hidden="1">
      <c r="A236" s="133" t="str">
        <f>IFERROR(__xludf.DUMMYFUNCTION("""COMPUTED_VALUE"""),"April'26")</f>
        <v>April'26</v>
      </c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3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5"/>
    </row>
    <row r="237" hidden="1">
      <c r="A237" s="133" t="str">
        <f>IFERROR(__xludf.DUMMYFUNCTION("""COMPUTED_VALUE"""),"April'26")</f>
        <v>April'26</v>
      </c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3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5"/>
    </row>
    <row r="238" hidden="1">
      <c r="A238" s="133" t="str">
        <f>IFERROR(__xludf.DUMMYFUNCTION("""COMPUTED_VALUE"""),"April'26")</f>
        <v>April'26</v>
      </c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3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5"/>
    </row>
    <row r="239" hidden="1">
      <c r="A239" s="133" t="str">
        <f>IFERROR(__xludf.DUMMYFUNCTION("""COMPUTED_VALUE"""),"April'26")</f>
        <v>April'26</v>
      </c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3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5"/>
    </row>
    <row r="240" hidden="1">
      <c r="A240" s="133" t="str">
        <f>IFERROR(__xludf.DUMMYFUNCTION("""COMPUTED_VALUE"""),"April'26")</f>
        <v>April'26</v>
      </c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3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5"/>
    </row>
    <row r="241" hidden="1">
      <c r="A241" s="133" t="str">
        <f>IFERROR(__xludf.DUMMYFUNCTION("""COMPUTED_VALUE"""),"April'26")</f>
        <v>April'26</v>
      </c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3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5"/>
    </row>
    <row r="242" hidden="1">
      <c r="A242" s="133" t="str">
        <f>IFERROR(__xludf.DUMMYFUNCTION("""COMPUTED_VALUE"""),"April'26")</f>
        <v>April'26</v>
      </c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3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5"/>
    </row>
    <row r="243" hidden="1">
      <c r="A243" s="133" t="str">
        <f>IFERROR(__xludf.DUMMYFUNCTION("""COMPUTED_VALUE"""),"April'26")</f>
        <v>April'26</v>
      </c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3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5"/>
    </row>
    <row r="244" hidden="1">
      <c r="A244" s="133" t="str">
        <f>IFERROR(__xludf.DUMMYFUNCTION("""COMPUTED_VALUE"""),"April'26")</f>
        <v>April'26</v>
      </c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3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5"/>
    </row>
    <row r="245" hidden="1">
      <c r="A245" s="133" t="str">
        <f>IFERROR(__xludf.DUMMYFUNCTION("""COMPUTED_VALUE"""),"April'26")</f>
        <v>April'26</v>
      </c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3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5"/>
    </row>
    <row r="246" hidden="1">
      <c r="A246" s="133" t="str">
        <f>IFERROR(__xludf.DUMMYFUNCTION("""COMPUTED_VALUE"""),"April'26")</f>
        <v>April'26</v>
      </c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3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5"/>
    </row>
    <row r="247" hidden="1">
      <c r="A247" s="133" t="str">
        <f>IFERROR(__xludf.DUMMYFUNCTION("""COMPUTED_VALUE"""),"April'26")</f>
        <v>April'26</v>
      </c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3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5"/>
    </row>
    <row r="248" hidden="1">
      <c r="A248" s="133" t="str">
        <f>IFERROR(__xludf.DUMMYFUNCTION("""COMPUTED_VALUE"""),"April'26")</f>
        <v>April'26</v>
      </c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3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5"/>
    </row>
    <row r="249" hidden="1">
      <c r="A249" s="133" t="str">
        <f>IFERROR(__xludf.DUMMYFUNCTION("""COMPUTED_VALUE"""),"April'26")</f>
        <v>April'26</v>
      </c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3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5"/>
    </row>
    <row r="250" hidden="1">
      <c r="A250" s="133" t="str">
        <f>IFERROR(__xludf.DUMMYFUNCTION("""COMPUTED_VALUE"""),"April'26")</f>
        <v>April'26</v>
      </c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3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5"/>
    </row>
    <row r="251" hidden="1">
      <c r="A251" s="133" t="str">
        <f>IFERROR(__xludf.DUMMYFUNCTION("""COMPUTED_VALUE"""),"April'26")</f>
        <v>April'26</v>
      </c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3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5"/>
    </row>
    <row r="252" hidden="1">
      <c r="A252" s="133" t="str">
        <f>IFERROR(__xludf.DUMMYFUNCTION("""COMPUTED_VALUE"""),"April'26")</f>
        <v>April'26</v>
      </c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3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5"/>
    </row>
    <row r="253" hidden="1">
      <c r="A253" s="133" t="str">
        <f>IFERROR(__xludf.DUMMYFUNCTION("""COMPUTED_VALUE"""),"April'26")</f>
        <v>April'26</v>
      </c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3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5"/>
    </row>
    <row r="254" hidden="1">
      <c r="A254" s="133" t="str">
        <f>IFERROR(__xludf.DUMMYFUNCTION("""COMPUTED_VALUE"""),"April'26")</f>
        <v>April'26</v>
      </c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3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5"/>
    </row>
    <row r="255" hidden="1">
      <c r="A255" s="133" t="str">
        <f>IFERROR(__xludf.DUMMYFUNCTION("""COMPUTED_VALUE"""),"April'26")</f>
        <v>April'26</v>
      </c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3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5"/>
    </row>
    <row r="256" hidden="1">
      <c r="A256" s="133" t="str">
        <f>IFERROR(__xludf.DUMMYFUNCTION("""COMPUTED_VALUE"""),"April'26")</f>
        <v>April'26</v>
      </c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3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5"/>
    </row>
    <row r="257" hidden="1">
      <c r="A257" s="133" t="str">
        <f>IFERROR(__xludf.DUMMYFUNCTION("""COMPUTED_VALUE"""),"April'26")</f>
        <v>April'26</v>
      </c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3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5"/>
    </row>
    <row r="258" hidden="1">
      <c r="A258" s="133" t="str">
        <f>IFERROR(__xludf.DUMMYFUNCTION("""COMPUTED_VALUE"""),"April'26")</f>
        <v>April'26</v>
      </c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3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5"/>
    </row>
    <row r="259" hidden="1">
      <c r="A259" s="133" t="str">
        <f>IFERROR(__xludf.DUMMYFUNCTION("""COMPUTED_VALUE"""),"April'26")</f>
        <v>April'26</v>
      </c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3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5"/>
    </row>
    <row r="260" hidden="1">
      <c r="A260" s="133" t="str">
        <f>IFERROR(__xludf.DUMMYFUNCTION("""COMPUTED_VALUE"""),"April'26")</f>
        <v>April'26</v>
      </c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3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5"/>
    </row>
    <row r="261" hidden="1">
      <c r="A261" s="133" t="str">
        <f>IFERROR(__xludf.DUMMYFUNCTION("""COMPUTED_VALUE"""),"April'26")</f>
        <v>April'26</v>
      </c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3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5"/>
    </row>
    <row r="262" hidden="1">
      <c r="A262" s="133" t="str">
        <f>IFERROR(__xludf.DUMMYFUNCTION("""COMPUTED_VALUE"""),"April'26")</f>
        <v>April'26</v>
      </c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3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5"/>
    </row>
    <row r="263" hidden="1">
      <c r="A263" s="133" t="str">
        <f>IFERROR(__xludf.DUMMYFUNCTION("""COMPUTED_VALUE"""),"April'26")</f>
        <v>April'26</v>
      </c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3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5"/>
    </row>
    <row r="264" hidden="1">
      <c r="A264" s="133" t="str">
        <f>IFERROR(__xludf.DUMMYFUNCTION("""COMPUTED_VALUE"""),"April'26")</f>
        <v>April'26</v>
      </c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3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5"/>
    </row>
    <row r="265" hidden="1">
      <c r="A265" s="133" t="str">
        <f>IFERROR(__xludf.DUMMYFUNCTION("""COMPUTED_VALUE"""),"April'26")</f>
        <v>April'26</v>
      </c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3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5"/>
    </row>
    <row r="266" hidden="1">
      <c r="A266" s="133" t="str">
        <f>IFERROR(__xludf.DUMMYFUNCTION("""COMPUTED_VALUE"""),"April'26")</f>
        <v>April'26</v>
      </c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3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5"/>
    </row>
    <row r="267" hidden="1">
      <c r="A267" s="133" t="str">
        <f>IFERROR(__xludf.DUMMYFUNCTION("""COMPUTED_VALUE"""),"April'26")</f>
        <v>April'26</v>
      </c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3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5"/>
    </row>
    <row r="268" hidden="1">
      <c r="A268" s="133" t="str">
        <f>IFERROR(__xludf.DUMMYFUNCTION("""COMPUTED_VALUE"""),"April'26")</f>
        <v>April'26</v>
      </c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3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5"/>
    </row>
    <row r="269" hidden="1">
      <c r="A269" s="133" t="str">
        <f>IFERROR(__xludf.DUMMYFUNCTION("""COMPUTED_VALUE"""),"April'26")</f>
        <v>April'26</v>
      </c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3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5"/>
    </row>
    <row r="270" hidden="1">
      <c r="A270" s="133" t="str">
        <f>IFERROR(__xludf.DUMMYFUNCTION("""COMPUTED_VALUE"""),"April'26")</f>
        <v>April'26</v>
      </c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3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5"/>
    </row>
    <row r="271" hidden="1">
      <c r="A271" s="133" t="str">
        <f>IFERROR(__xludf.DUMMYFUNCTION("""COMPUTED_VALUE"""),"April'26")</f>
        <v>April'26</v>
      </c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3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5"/>
    </row>
    <row r="272" hidden="1">
      <c r="A272" s="133" t="str">
        <f>IFERROR(__xludf.DUMMYFUNCTION("""COMPUTED_VALUE"""),"April'26")</f>
        <v>April'26</v>
      </c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3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5"/>
    </row>
    <row r="273" hidden="1">
      <c r="A273" s="133" t="str">
        <f>IFERROR(__xludf.DUMMYFUNCTION("""COMPUTED_VALUE"""),"April'26")</f>
        <v>April'26</v>
      </c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3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5"/>
    </row>
    <row r="274" hidden="1">
      <c r="A274" s="133" t="str">
        <f>IFERROR(__xludf.DUMMYFUNCTION("""COMPUTED_VALUE"""),"April'26")</f>
        <v>April'26</v>
      </c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3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5"/>
    </row>
    <row r="275" hidden="1">
      <c r="A275" s="133" t="str">
        <f>IFERROR(__xludf.DUMMYFUNCTION("""COMPUTED_VALUE"""),"April'26")</f>
        <v>April'26</v>
      </c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3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5"/>
    </row>
    <row r="276" hidden="1">
      <c r="A276" s="133" t="str">
        <f>IFERROR(__xludf.DUMMYFUNCTION("""COMPUTED_VALUE"""),"April'26")</f>
        <v>April'26</v>
      </c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3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5"/>
    </row>
    <row r="277" hidden="1">
      <c r="A277" s="133" t="str">
        <f>IFERROR(__xludf.DUMMYFUNCTION("""COMPUTED_VALUE"""),"April'26")</f>
        <v>April'26</v>
      </c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3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5"/>
    </row>
    <row r="278" hidden="1">
      <c r="A278" s="133" t="str">
        <f>IFERROR(__xludf.DUMMYFUNCTION("""COMPUTED_VALUE"""),"April'26")</f>
        <v>April'26</v>
      </c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3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5"/>
    </row>
    <row r="279" hidden="1">
      <c r="A279" s="133" t="str">
        <f>IFERROR(__xludf.DUMMYFUNCTION("""COMPUTED_VALUE"""),"April'26")</f>
        <v>April'26</v>
      </c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3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5"/>
    </row>
    <row r="280" hidden="1">
      <c r="A280" s="133" t="str">
        <f>IFERROR(__xludf.DUMMYFUNCTION("""COMPUTED_VALUE"""),"April'26")</f>
        <v>April'26</v>
      </c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3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5"/>
    </row>
    <row r="281" hidden="1">
      <c r="A281" s="133" t="str">
        <f>IFERROR(__xludf.DUMMYFUNCTION("""COMPUTED_VALUE"""),"April'26")</f>
        <v>April'26</v>
      </c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3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5"/>
    </row>
    <row r="282" hidden="1">
      <c r="A282" s="133" t="str">
        <f>IFERROR(__xludf.DUMMYFUNCTION("""COMPUTED_VALUE"""),"April'26")</f>
        <v>April'26</v>
      </c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3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5"/>
    </row>
    <row r="283" hidden="1">
      <c r="A283" s="133" t="str">
        <f>IFERROR(__xludf.DUMMYFUNCTION("""COMPUTED_VALUE"""),"April'26")</f>
        <v>April'26</v>
      </c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3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5"/>
    </row>
    <row r="284" hidden="1">
      <c r="A284" s="133" t="str">
        <f>IFERROR(__xludf.DUMMYFUNCTION("""COMPUTED_VALUE"""),"April'26")</f>
        <v>April'26</v>
      </c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3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5"/>
    </row>
    <row r="285" hidden="1">
      <c r="A285" s="133" t="str">
        <f>IFERROR(__xludf.DUMMYFUNCTION("""COMPUTED_VALUE"""),"April'26")</f>
        <v>April'26</v>
      </c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3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5"/>
    </row>
    <row r="286" hidden="1">
      <c r="A286" s="133" t="str">
        <f>IFERROR(__xludf.DUMMYFUNCTION("""COMPUTED_VALUE"""),"April'26")</f>
        <v>April'26</v>
      </c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3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5"/>
    </row>
    <row r="287" hidden="1">
      <c r="A287" s="133" t="str">
        <f>IFERROR(__xludf.DUMMYFUNCTION("""COMPUTED_VALUE"""),"April'26")</f>
        <v>April'26</v>
      </c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3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5"/>
    </row>
    <row r="288" hidden="1">
      <c r="A288" s="133" t="str">
        <f>IFERROR(__xludf.DUMMYFUNCTION("""COMPUTED_VALUE"""),"April'26")</f>
        <v>April'26</v>
      </c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3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5"/>
    </row>
    <row r="289" hidden="1">
      <c r="A289" s="133" t="str">
        <f>IFERROR(__xludf.DUMMYFUNCTION("""COMPUTED_VALUE"""),"April'26")</f>
        <v>April'26</v>
      </c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3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5"/>
    </row>
    <row r="290" hidden="1">
      <c r="A290" s="133" t="str">
        <f>IFERROR(__xludf.DUMMYFUNCTION("""COMPUTED_VALUE"""),"April'26")</f>
        <v>April'26</v>
      </c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3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5"/>
    </row>
    <row r="291" hidden="1">
      <c r="A291" s="133" t="str">
        <f>IFERROR(__xludf.DUMMYFUNCTION("""COMPUTED_VALUE"""),"April'26")</f>
        <v>April'26</v>
      </c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3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5"/>
    </row>
    <row r="292" hidden="1">
      <c r="A292" s="133" t="str">
        <f>IFERROR(__xludf.DUMMYFUNCTION("""COMPUTED_VALUE"""),"April'26")</f>
        <v>April'26</v>
      </c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3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5"/>
    </row>
    <row r="293" hidden="1">
      <c r="A293" s="133" t="str">
        <f>IFERROR(__xludf.DUMMYFUNCTION("""COMPUTED_VALUE"""),"April'26")</f>
        <v>April'26</v>
      </c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3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5"/>
    </row>
    <row r="294" hidden="1">
      <c r="A294" s="133" t="str">
        <f>IFERROR(__xludf.DUMMYFUNCTION("""COMPUTED_VALUE"""),"April'26")</f>
        <v>April'26</v>
      </c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3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5"/>
    </row>
    <row r="295" hidden="1">
      <c r="A295" s="133" t="str">
        <f>IFERROR(__xludf.DUMMYFUNCTION("""COMPUTED_VALUE"""),"April'26")</f>
        <v>April'26</v>
      </c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3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5"/>
    </row>
    <row r="296" hidden="1">
      <c r="A296" s="133" t="str">
        <f>IFERROR(__xludf.DUMMYFUNCTION("""COMPUTED_VALUE"""),"April'26")</f>
        <v>April'26</v>
      </c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3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5"/>
    </row>
    <row r="297" hidden="1">
      <c r="A297" s="133" t="str">
        <f>IFERROR(__xludf.DUMMYFUNCTION("""COMPUTED_VALUE"""),"April'26")</f>
        <v>April'26</v>
      </c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3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5"/>
    </row>
    <row r="298" hidden="1">
      <c r="A298" s="133" t="str">
        <f>IFERROR(__xludf.DUMMYFUNCTION("""COMPUTED_VALUE"""),"April'26")</f>
        <v>April'26</v>
      </c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3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5"/>
    </row>
    <row r="299" hidden="1">
      <c r="A299" s="133" t="str">
        <f>IFERROR(__xludf.DUMMYFUNCTION("""COMPUTED_VALUE"""),"April'26")</f>
        <v>April'26</v>
      </c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3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5"/>
    </row>
    <row r="300" hidden="1">
      <c r="A300" s="133" t="str">
        <f>IFERROR(__xludf.DUMMYFUNCTION("""COMPUTED_VALUE"""),"April'26")</f>
        <v>April'26</v>
      </c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3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5"/>
    </row>
    <row r="301" hidden="1">
      <c r="A301" s="133" t="str">
        <f>IFERROR(__xludf.DUMMYFUNCTION("""COMPUTED_VALUE"""),"April'26")</f>
        <v>April'26</v>
      </c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3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5"/>
    </row>
    <row r="302" hidden="1">
      <c r="A302" s="133" t="str">
        <f>IFERROR(__xludf.DUMMYFUNCTION("""COMPUTED_VALUE"""),"April'26")</f>
        <v>April'26</v>
      </c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3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5"/>
    </row>
    <row r="303" hidden="1">
      <c r="A303" s="133" t="str">
        <f>IFERROR(__xludf.DUMMYFUNCTION("""COMPUTED_VALUE"""),"April'26")</f>
        <v>April'26</v>
      </c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3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5"/>
    </row>
    <row r="304" hidden="1">
      <c r="A304" s="133" t="str">
        <f>IFERROR(__xludf.DUMMYFUNCTION("""COMPUTED_VALUE"""),"April'26")</f>
        <v>April'26</v>
      </c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3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5"/>
    </row>
    <row r="305" hidden="1">
      <c r="A305" s="133" t="str">
        <f>IFERROR(__xludf.DUMMYFUNCTION("""COMPUTED_VALUE"""),"April'26")</f>
        <v>April'26</v>
      </c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3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5"/>
    </row>
    <row r="306" hidden="1">
      <c r="A306" s="133" t="str">
        <f>IFERROR(__xludf.DUMMYFUNCTION("""COMPUTED_VALUE"""),"April'26")</f>
        <v>April'26</v>
      </c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3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5"/>
    </row>
    <row r="307" hidden="1">
      <c r="A307" s="133" t="str">
        <f>IFERROR(__xludf.DUMMYFUNCTION("""COMPUTED_VALUE"""),"April'26")</f>
        <v>April'26</v>
      </c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3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5"/>
    </row>
    <row r="308" hidden="1">
      <c r="A308" s="133" t="str">
        <f>IFERROR(__xludf.DUMMYFUNCTION("""COMPUTED_VALUE"""),"April'26")</f>
        <v>April'26</v>
      </c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3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5"/>
    </row>
    <row r="309" hidden="1">
      <c r="A309" s="133" t="str">
        <f>IFERROR(__xludf.DUMMYFUNCTION("""COMPUTED_VALUE"""),"April'26")</f>
        <v>April'26</v>
      </c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3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5"/>
    </row>
    <row r="310" hidden="1">
      <c r="A310" s="133" t="str">
        <f>IFERROR(__xludf.DUMMYFUNCTION("""COMPUTED_VALUE"""),"April'26")</f>
        <v>April'26</v>
      </c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3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5"/>
    </row>
    <row r="311" hidden="1">
      <c r="A311" s="133" t="str">
        <f>IFERROR(__xludf.DUMMYFUNCTION("""COMPUTED_VALUE"""),"April'26")</f>
        <v>April'26</v>
      </c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3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5"/>
    </row>
    <row r="312" hidden="1">
      <c r="A312" s="133" t="str">
        <f>IFERROR(__xludf.DUMMYFUNCTION("""COMPUTED_VALUE"""),"April'26")</f>
        <v>April'26</v>
      </c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3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5"/>
    </row>
    <row r="313" hidden="1">
      <c r="A313" s="133" t="str">
        <f>IFERROR(__xludf.DUMMYFUNCTION("""COMPUTED_VALUE"""),"April'26")</f>
        <v>April'26</v>
      </c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3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5"/>
    </row>
    <row r="314" hidden="1">
      <c r="A314" s="133" t="str">
        <f>IFERROR(__xludf.DUMMYFUNCTION("""COMPUTED_VALUE"""),"April'26")</f>
        <v>April'26</v>
      </c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3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5"/>
    </row>
    <row r="315" hidden="1">
      <c r="A315" s="133" t="str">
        <f>IFERROR(__xludf.DUMMYFUNCTION("""COMPUTED_VALUE"""),"April'26")</f>
        <v>April'26</v>
      </c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3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5"/>
    </row>
    <row r="316" hidden="1">
      <c r="A316" s="133" t="str">
        <f>IFERROR(__xludf.DUMMYFUNCTION("""COMPUTED_VALUE"""),"April'26")</f>
        <v>April'26</v>
      </c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3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5"/>
    </row>
    <row r="317" hidden="1">
      <c r="A317" s="133" t="str">
        <f>IFERROR(__xludf.DUMMYFUNCTION("""COMPUTED_VALUE"""),"April'26")</f>
        <v>April'26</v>
      </c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3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5"/>
    </row>
    <row r="318" hidden="1">
      <c r="A318" s="133" t="str">
        <f>IFERROR(__xludf.DUMMYFUNCTION("""COMPUTED_VALUE"""),"April'26")</f>
        <v>April'26</v>
      </c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3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5"/>
    </row>
    <row r="319" hidden="1">
      <c r="A319" s="133" t="str">
        <f>IFERROR(__xludf.DUMMYFUNCTION("""COMPUTED_VALUE"""),"April'26")</f>
        <v>April'26</v>
      </c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3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5"/>
    </row>
    <row r="320" hidden="1">
      <c r="A320" s="133" t="str">
        <f>IFERROR(__xludf.DUMMYFUNCTION("""COMPUTED_VALUE"""),"April'26")</f>
        <v>April'26</v>
      </c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3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5"/>
    </row>
    <row r="321" hidden="1">
      <c r="A321" s="133" t="str">
        <f>IFERROR(__xludf.DUMMYFUNCTION("""COMPUTED_VALUE"""),"April'26")</f>
        <v>April'26</v>
      </c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3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5"/>
    </row>
    <row r="322" hidden="1">
      <c r="A322" s="133" t="str">
        <f>IFERROR(__xludf.DUMMYFUNCTION("""COMPUTED_VALUE"""),"April'26")</f>
        <v>April'26</v>
      </c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3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5"/>
    </row>
    <row r="323" hidden="1">
      <c r="A323" s="133" t="str">
        <f>IFERROR(__xludf.DUMMYFUNCTION("""COMPUTED_VALUE"""),"April'26")</f>
        <v>April'26</v>
      </c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3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5"/>
    </row>
    <row r="324" hidden="1">
      <c r="A324" s="133" t="str">
        <f>IFERROR(__xludf.DUMMYFUNCTION("""COMPUTED_VALUE"""),"April'26")</f>
        <v>April'26</v>
      </c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3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5"/>
    </row>
    <row r="325" hidden="1">
      <c r="A325" s="133" t="str">
        <f>IFERROR(__xludf.DUMMYFUNCTION("""COMPUTED_VALUE"""),"April'26")</f>
        <v>April'26</v>
      </c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3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5"/>
    </row>
    <row r="326" hidden="1">
      <c r="A326" s="133" t="str">
        <f>IFERROR(__xludf.DUMMYFUNCTION("""COMPUTED_VALUE"""),"April'26")</f>
        <v>April'26</v>
      </c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3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5"/>
    </row>
    <row r="327" hidden="1">
      <c r="A327" s="133" t="str">
        <f>IFERROR(__xludf.DUMMYFUNCTION("""COMPUTED_VALUE"""),"April'26")</f>
        <v>April'26</v>
      </c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3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5"/>
    </row>
    <row r="328" hidden="1">
      <c r="A328" s="133" t="str">
        <f>IFERROR(__xludf.DUMMYFUNCTION("""COMPUTED_VALUE"""),"April'26")</f>
        <v>April'26</v>
      </c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3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5"/>
    </row>
    <row r="329" hidden="1">
      <c r="A329" s="133" t="str">
        <f>IFERROR(__xludf.DUMMYFUNCTION("""COMPUTED_VALUE"""),"April'26")</f>
        <v>April'26</v>
      </c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3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5"/>
    </row>
    <row r="330" hidden="1">
      <c r="A330" s="133" t="str">
        <f>IFERROR(__xludf.DUMMYFUNCTION("""COMPUTED_VALUE"""),"April'26")</f>
        <v>April'26</v>
      </c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3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5"/>
    </row>
    <row r="331" hidden="1">
      <c r="A331" s="133" t="str">
        <f>IFERROR(__xludf.DUMMYFUNCTION("""COMPUTED_VALUE"""),"April'26")</f>
        <v>April'26</v>
      </c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3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5"/>
    </row>
    <row r="332" hidden="1">
      <c r="A332" s="133" t="str">
        <f>IFERROR(__xludf.DUMMYFUNCTION("""COMPUTED_VALUE"""),"April'26")</f>
        <v>April'26</v>
      </c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3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5"/>
    </row>
    <row r="333" hidden="1">
      <c r="A333" s="133" t="str">
        <f>IFERROR(__xludf.DUMMYFUNCTION("""COMPUTED_VALUE"""),"April'26")</f>
        <v>April'26</v>
      </c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3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5"/>
    </row>
    <row r="334" hidden="1">
      <c r="A334" s="133" t="str">
        <f>IFERROR(__xludf.DUMMYFUNCTION("""COMPUTED_VALUE"""),"April'26")</f>
        <v>April'26</v>
      </c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3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5"/>
    </row>
    <row r="335" hidden="1">
      <c r="A335" s="133" t="str">
        <f>IFERROR(__xludf.DUMMYFUNCTION("""COMPUTED_VALUE"""),"April'26")</f>
        <v>April'26</v>
      </c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3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5"/>
    </row>
    <row r="336" hidden="1">
      <c r="A336" s="133" t="str">
        <f>IFERROR(__xludf.DUMMYFUNCTION("""COMPUTED_VALUE"""),"April'26")</f>
        <v>April'26</v>
      </c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3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5"/>
    </row>
    <row r="337" hidden="1">
      <c r="A337" s="133" t="str">
        <f>IFERROR(__xludf.DUMMYFUNCTION("""COMPUTED_VALUE"""),"April'26")</f>
        <v>April'26</v>
      </c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3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5"/>
    </row>
    <row r="338" hidden="1">
      <c r="A338" s="133" t="str">
        <f>IFERROR(__xludf.DUMMYFUNCTION("""COMPUTED_VALUE"""),"April'26")</f>
        <v>April'26</v>
      </c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3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5"/>
    </row>
    <row r="339" hidden="1">
      <c r="A339" s="133" t="str">
        <f>IFERROR(__xludf.DUMMYFUNCTION("""COMPUTED_VALUE"""),"April'26")</f>
        <v>April'26</v>
      </c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3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5"/>
    </row>
    <row r="340" hidden="1">
      <c r="A340" s="133" t="str">
        <f>IFERROR(__xludf.DUMMYFUNCTION("""COMPUTED_VALUE"""),"April'26")</f>
        <v>April'26</v>
      </c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3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5"/>
    </row>
    <row r="341" hidden="1">
      <c r="A341" s="133" t="str">
        <f>IFERROR(__xludf.DUMMYFUNCTION("""COMPUTED_VALUE"""),"April'26")</f>
        <v>April'26</v>
      </c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3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5"/>
    </row>
    <row r="342" hidden="1">
      <c r="A342" s="133" t="str">
        <f>IFERROR(__xludf.DUMMYFUNCTION("""COMPUTED_VALUE"""),"April'26")</f>
        <v>April'26</v>
      </c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3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5"/>
    </row>
    <row r="343" hidden="1">
      <c r="A343" s="133" t="str">
        <f>IFERROR(__xludf.DUMMYFUNCTION("""COMPUTED_VALUE"""),"April'26")</f>
        <v>April'26</v>
      </c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3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5"/>
    </row>
    <row r="344" hidden="1">
      <c r="A344" s="133" t="str">
        <f>IFERROR(__xludf.DUMMYFUNCTION("""COMPUTED_VALUE"""),"April'26")</f>
        <v>April'26</v>
      </c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3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5"/>
    </row>
    <row r="345" hidden="1">
      <c r="A345" s="133" t="str">
        <f>IFERROR(__xludf.DUMMYFUNCTION("""COMPUTED_VALUE"""),"April'26")</f>
        <v>April'26</v>
      </c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3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5"/>
    </row>
    <row r="346" hidden="1">
      <c r="A346" s="133" t="str">
        <f>IFERROR(__xludf.DUMMYFUNCTION("""COMPUTED_VALUE"""),"April'26")</f>
        <v>April'26</v>
      </c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3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5"/>
    </row>
    <row r="347" hidden="1">
      <c r="A347" s="133" t="str">
        <f>IFERROR(__xludf.DUMMYFUNCTION("""COMPUTED_VALUE"""),"April'26")</f>
        <v>April'26</v>
      </c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3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5"/>
    </row>
    <row r="348" hidden="1">
      <c r="A348" s="133" t="str">
        <f>IFERROR(__xludf.DUMMYFUNCTION("""COMPUTED_VALUE"""),"April'26")</f>
        <v>April'26</v>
      </c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3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5"/>
    </row>
    <row r="349" hidden="1">
      <c r="A349" s="133" t="str">
        <f>IFERROR(__xludf.DUMMYFUNCTION("""COMPUTED_VALUE"""),"April'26")</f>
        <v>April'26</v>
      </c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3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5"/>
    </row>
    <row r="350" hidden="1">
      <c r="A350" s="133" t="str">
        <f>IFERROR(__xludf.DUMMYFUNCTION("""COMPUTED_VALUE"""),"April'26")</f>
        <v>April'26</v>
      </c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3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5"/>
    </row>
    <row r="351" hidden="1">
      <c r="A351" s="133" t="str">
        <f>IFERROR(__xludf.DUMMYFUNCTION("""COMPUTED_VALUE"""),"April'26")</f>
        <v>April'26</v>
      </c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3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5"/>
    </row>
    <row r="352" hidden="1">
      <c r="A352" s="133" t="str">
        <f>IFERROR(__xludf.DUMMYFUNCTION("""COMPUTED_VALUE"""),"April'26")</f>
        <v>April'26</v>
      </c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3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5"/>
    </row>
    <row r="353" hidden="1">
      <c r="A353" s="133" t="str">
        <f>IFERROR(__xludf.DUMMYFUNCTION("""COMPUTED_VALUE"""),"April'26")</f>
        <v>April'26</v>
      </c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3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5"/>
    </row>
    <row r="354" hidden="1">
      <c r="A354" s="133" t="str">
        <f>IFERROR(__xludf.DUMMYFUNCTION("""COMPUTED_VALUE"""),"April'26")</f>
        <v>April'26</v>
      </c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3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5"/>
    </row>
    <row r="355" hidden="1">
      <c r="A355" s="133" t="str">
        <f>IFERROR(__xludf.DUMMYFUNCTION("""COMPUTED_VALUE"""),"April'26")</f>
        <v>April'26</v>
      </c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3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5"/>
    </row>
    <row r="356" hidden="1">
      <c r="A356" s="133" t="str">
        <f>IFERROR(__xludf.DUMMYFUNCTION("""COMPUTED_VALUE"""),"April'26")</f>
        <v>April'26</v>
      </c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3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5"/>
    </row>
    <row r="357" hidden="1">
      <c r="A357" s="133" t="str">
        <f>IFERROR(__xludf.DUMMYFUNCTION("""COMPUTED_VALUE"""),"April'26")</f>
        <v>April'26</v>
      </c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3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5"/>
    </row>
    <row r="358" hidden="1">
      <c r="A358" s="133" t="str">
        <f>IFERROR(__xludf.DUMMYFUNCTION("""COMPUTED_VALUE"""),"April'26")</f>
        <v>April'26</v>
      </c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3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5"/>
    </row>
    <row r="359" hidden="1">
      <c r="A359" s="133" t="str">
        <f>IFERROR(__xludf.DUMMYFUNCTION("""COMPUTED_VALUE"""),"April'26")</f>
        <v>April'26</v>
      </c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3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5"/>
    </row>
    <row r="360" hidden="1">
      <c r="A360" s="133" t="str">
        <f>IFERROR(__xludf.DUMMYFUNCTION("""COMPUTED_VALUE"""),"April'26")</f>
        <v>April'26</v>
      </c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3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5"/>
    </row>
    <row r="361" hidden="1">
      <c r="A361" s="133" t="str">
        <f>IFERROR(__xludf.DUMMYFUNCTION("""COMPUTED_VALUE"""),"April'26")</f>
        <v>April'26</v>
      </c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3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5"/>
    </row>
    <row r="362" hidden="1">
      <c r="A362" s="133" t="str">
        <f>IFERROR(__xludf.DUMMYFUNCTION("""COMPUTED_VALUE"""),"April'26")</f>
        <v>April'26</v>
      </c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3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5"/>
    </row>
    <row r="363" hidden="1">
      <c r="A363" s="133" t="str">
        <f>IFERROR(__xludf.DUMMYFUNCTION("""COMPUTED_VALUE"""),"April'26")</f>
        <v>April'26</v>
      </c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3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5"/>
    </row>
    <row r="364" hidden="1">
      <c r="A364" s="133" t="str">
        <f>IFERROR(__xludf.DUMMYFUNCTION("""COMPUTED_VALUE"""),"April'26")</f>
        <v>April'26</v>
      </c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3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5"/>
    </row>
    <row r="365" hidden="1">
      <c r="A365" s="133" t="str">
        <f>IFERROR(__xludf.DUMMYFUNCTION("""COMPUTED_VALUE"""),"April'26")</f>
        <v>April'26</v>
      </c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3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5"/>
    </row>
    <row r="366" hidden="1">
      <c r="A366" s="133" t="str">
        <f>IFERROR(__xludf.DUMMYFUNCTION("""COMPUTED_VALUE"""),"April'26")</f>
        <v>April'26</v>
      </c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3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5"/>
    </row>
    <row r="367" hidden="1">
      <c r="A367" s="133" t="str">
        <f>IFERROR(__xludf.DUMMYFUNCTION("""COMPUTED_VALUE"""),"April'26")</f>
        <v>April'26</v>
      </c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3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5"/>
    </row>
    <row r="368" hidden="1">
      <c r="A368" s="133" t="str">
        <f>IFERROR(__xludf.DUMMYFUNCTION("""COMPUTED_VALUE"""),"April'26")</f>
        <v>April'26</v>
      </c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3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5"/>
    </row>
    <row r="369" hidden="1">
      <c r="A369" s="133" t="str">
        <f>IFERROR(__xludf.DUMMYFUNCTION("""COMPUTED_VALUE"""),"April'26")</f>
        <v>April'26</v>
      </c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3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5"/>
    </row>
    <row r="370" hidden="1">
      <c r="A370" s="133" t="str">
        <f>IFERROR(__xludf.DUMMYFUNCTION("""COMPUTED_VALUE"""),"April'26")</f>
        <v>April'26</v>
      </c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3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5"/>
    </row>
    <row r="371" hidden="1">
      <c r="A371" s="133" t="str">
        <f>IFERROR(__xludf.DUMMYFUNCTION("""COMPUTED_VALUE"""),"April'26")</f>
        <v>April'26</v>
      </c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3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5"/>
    </row>
    <row r="372" hidden="1">
      <c r="A372" s="133" t="str">
        <f>IFERROR(__xludf.DUMMYFUNCTION("""COMPUTED_VALUE"""),"April'26")</f>
        <v>April'26</v>
      </c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3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5"/>
    </row>
    <row r="373" hidden="1">
      <c r="A373" s="133" t="str">
        <f>IFERROR(__xludf.DUMMYFUNCTION("""COMPUTED_VALUE"""),"April'26")</f>
        <v>April'26</v>
      </c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3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5"/>
    </row>
    <row r="374" hidden="1">
      <c r="A374" s="133" t="str">
        <f>IFERROR(__xludf.DUMMYFUNCTION("""COMPUTED_VALUE"""),"April'26")</f>
        <v>April'26</v>
      </c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3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5"/>
    </row>
    <row r="375" hidden="1">
      <c r="A375" s="133" t="str">
        <f>IFERROR(__xludf.DUMMYFUNCTION("""COMPUTED_VALUE"""),"April'26")</f>
        <v>April'26</v>
      </c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3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5"/>
    </row>
    <row r="376" hidden="1">
      <c r="A376" s="133" t="str">
        <f>IFERROR(__xludf.DUMMYFUNCTION("""COMPUTED_VALUE"""),"April'26")</f>
        <v>April'26</v>
      </c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3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5"/>
    </row>
    <row r="377" hidden="1">
      <c r="A377" s="133" t="str">
        <f>IFERROR(__xludf.DUMMYFUNCTION("""COMPUTED_VALUE"""),"April'26")</f>
        <v>April'26</v>
      </c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3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5"/>
    </row>
    <row r="378" hidden="1">
      <c r="A378" s="133" t="str">
        <f>IFERROR(__xludf.DUMMYFUNCTION("""COMPUTED_VALUE"""),"April'26")</f>
        <v>April'26</v>
      </c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3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5"/>
    </row>
    <row r="379" hidden="1">
      <c r="A379" s="133" t="str">
        <f>IFERROR(__xludf.DUMMYFUNCTION("""COMPUTED_VALUE"""),"April'26")</f>
        <v>April'26</v>
      </c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3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5"/>
    </row>
    <row r="380" hidden="1">
      <c r="A380" s="133" t="str">
        <f>IFERROR(__xludf.DUMMYFUNCTION("""COMPUTED_VALUE"""),"April'26")</f>
        <v>April'26</v>
      </c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3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5"/>
    </row>
    <row r="381" hidden="1">
      <c r="A381" s="133" t="str">
        <f>IFERROR(__xludf.DUMMYFUNCTION("""COMPUTED_VALUE"""),"April'26")</f>
        <v>April'26</v>
      </c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3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5"/>
    </row>
    <row r="382" hidden="1">
      <c r="A382" s="133" t="str">
        <f>IFERROR(__xludf.DUMMYFUNCTION("""COMPUTED_VALUE"""),"April'26")</f>
        <v>April'26</v>
      </c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3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5"/>
    </row>
    <row r="383" hidden="1">
      <c r="A383" s="133" t="str">
        <f>IFERROR(__xludf.DUMMYFUNCTION("""COMPUTED_VALUE"""),"April'26")</f>
        <v>April'26</v>
      </c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3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5"/>
    </row>
    <row r="384" hidden="1">
      <c r="A384" s="133" t="str">
        <f>IFERROR(__xludf.DUMMYFUNCTION("""COMPUTED_VALUE"""),"April'26")</f>
        <v>April'26</v>
      </c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3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5"/>
    </row>
    <row r="385" hidden="1">
      <c r="A385" s="133" t="str">
        <f>IFERROR(__xludf.DUMMYFUNCTION("""COMPUTED_VALUE"""),"April'26")</f>
        <v>April'26</v>
      </c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3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5"/>
    </row>
    <row r="386" hidden="1">
      <c r="A386" s="133" t="str">
        <f>IFERROR(__xludf.DUMMYFUNCTION("""COMPUTED_VALUE"""),"April'26")</f>
        <v>April'26</v>
      </c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3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5"/>
    </row>
    <row r="387" hidden="1">
      <c r="A387" s="133" t="str">
        <f>IFERROR(__xludf.DUMMYFUNCTION("""COMPUTED_VALUE"""),"April'26")</f>
        <v>April'26</v>
      </c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3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5"/>
    </row>
    <row r="388" hidden="1">
      <c r="A388" s="133" t="str">
        <f>IFERROR(__xludf.DUMMYFUNCTION("""COMPUTED_VALUE"""),"April'26")</f>
        <v>April'26</v>
      </c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3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5"/>
    </row>
    <row r="389" hidden="1">
      <c r="A389" s="133" t="str">
        <f>IFERROR(__xludf.DUMMYFUNCTION("""COMPUTED_VALUE"""),"April'26")</f>
        <v>April'26</v>
      </c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3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5"/>
    </row>
    <row r="390" hidden="1">
      <c r="A390" s="133" t="str">
        <f>IFERROR(__xludf.DUMMYFUNCTION("""COMPUTED_VALUE"""),"April'26")</f>
        <v>April'26</v>
      </c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3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5"/>
    </row>
    <row r="391" hidden="1">
      <c r="A391" s="133" t="str">
        <f>IFERROR(__xludf.DUMMYFUNCTION("""COMPUTED_VALUE"""),"April'26")</f>
        <v>April'26</v>
      </c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3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5"/>
    </row>
    <row r="392" hidden="1">
      <c r="A392" s="133" t="str">
        <f>IFERROR(__xludf.DUMMYFUNCTION("""COMPUTED_VALUE"""),"April'26")</f>
        <v>April'26</v>
      </c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3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5"/>
    </row>
    <row r="393" hidden="1">
      <c r="A393" s="133" t="str">
        <f>IFERROR(__xludf.DUMMYFUNCTION("""COMPUTED_VALUE"""),"April'26")</f>
        <v>April'26</v>
      </c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3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5"/>
    </row>
    <row r="394" hidden="1">
      <c r="A394" s="133" t="str">
        <f>IFERROR(__xludf.DUMMYFUNCTION("""COMPUTED_VALUE"""),"April'26")</f>
        <v>April'26</v>
      </c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3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5"/>
    </row>
    <row r="395" hidden="1">
      <c r="A395" s="133" t="str">
        <f>IFERROR(__xludf.DUMMYFUNCTION("""COMPUTED_VALUE"""),"April'26")</f>
        <v>April'26</v>
      </c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3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5"/>
    </row>
    <row r="396" hidden="1">
      <c r="A396" s="133" t="str">
        <f>IFERROR(__xludf.DUMMYFUNCTION("""COMPUTED_VALUE"""),"April'26")</f>
        <v>April'26</v>
      </c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3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5"/>
    </row>
    <row r="397" hidden="1">
      <c r="A397" s="133" t="str">
        <f>IFERROR(__xludf.DUMMYFUNCTION("""COMPUTED_VALUE"""),"April'26")</f>
        <v>April'26</v>
      </c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3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5"/>
    </row>
    <row r="398" hidden="1">
      <c r="A398" s="133" t="str">
        <f>IFERROR(__xludf.DUMMYFUNCTION("""COMPUTED_VALUE"""),"April'26")</f>
        <v>April'26</v>
      </c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3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5"/>
    </row>
    <row r="399" hidden="1">
      <c r="A399" s="133" t="str">
        <f>IFERROR(__xludf.DUMMYFUNCTION("""COMPUTED_VALUE"""),"April'26")</f>
        <v>April'26</v>
      </c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3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5"/>
    </row>
    <row r="400" hidden="1">
      <c r="A400" s="133" t="str">
        <f>IFERROR(__xludf.DUMMYFUNCTION("""COMPUTED_VALUE"""),"April'26")</f>
        <v>April'26</v>
      </c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3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5"/>
    </row>
    <row r="401" hidden="1">
      <c r="A401" s="133" t="str">
        <f>IFERROR(__xludf.DUMMYFUNCTION("""COMPUTED_VALUE"""),"April'26")</f>
        <v>April'26</v>
      </c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3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5"/>
    </row>
    <row r="402" hidden="1">
      <c r="A402" s="133" t="str">
        <f>IFERROR(__xludf.DUMMYFUNCTION("""COMPUTED_VALUE"""),"April'26")</f>
        <v>April'26</v>
      </c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3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5"/>
    </row>
    <row r="403" hidden="1">
      <c r="A403" s="133" t="str">
        <f>IFERROR(__xludf.DUMMYFUNCTION("""COMPUTED_VALUE"""),"April'26")</f>
        <v>April'26</v>
      </c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3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5"/>
    </row>
    <row r="404" hidden="1">
      <c r="A404" s="133" t="str">
        <f>IFERROR(__xludf.DUMMYFUNCTION("""COMPUTED_VALUE"""),"April'26")</f>
        <v>April'26</v>
      </c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3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5"/>
    </row>
    <row r="405" hidden="1">
      <c r="A405" s="133" t="str">
        <f>IFERROR(__xludf.DUMMYFUNCTION("""COMPUTED_VALUE"""),"April'26")</f>
        <v>April'26</v>
      </c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3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5"/>
    </row>
    <row r="406" hidden="1">
      <c r="A406" s="133" t="str">
        <f>IFERROR(__xludf.DUMMYFUNCTION("""COMPUTED_VALUE"""),"April'26")</f>
        <v>April'26</v>
      </c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3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5"/>
    </row>
    <row r="407" hidden="1">
      <c r="A407" s="133" t="str">
        <f>IFERROR(__xludf.DUMMYFUNCTION("""COMPUTED_VALUE"""),"April'26")</f>
        <v>April'26</v>
      </c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3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5"/>
    </row>
    <row r="408" hidden="1">
      <c r="A408" s="133" t="str">
        <f>IFERROR(__xludf.DUMMYFUNCTION("""COMPUTED_VALUE"""),"April'26")</f>
        <v>April'26</v>
      </c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3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5"/>
    </row>
    <row r="409" hidden="1">
      <c r="A409" s="133" t="str">
        <f>IFERROR(__xludf.DUMMYFUNCTION("""COMPUTED_VALUE"""),"April'26")</f>
        <v>April'26</v>
      </c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3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5"/>
    </row>
    <row r="410" hidden="1">
      <c r="A410" s="133" t="str">
        <f>IFERROR(__xludf.DUMMYFUNCTION("""COMPUTED_VALUE"""),"April'26")</f>
        <v>April'26</v>
      </c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3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5"/>
    </row>
    <row r="411" hidden="1">
      <c r="A411" s="133" t="str">
        <f>IFERROR(__xludf.DUMMYFUNCTION("""COMPUTED_VALUE"""),"April'26")</f>
        <v>April'26</v>
      </c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3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5"/>
    </row>
    <row r="412" hidden="1">
      <c r="A412" s="133" t="str">
        <f>IFERROR(__xludf.DUMMYFUNCTION("""COMPUTED_VALUE"""),"April'26")</f>
        <v>April'26</v>
      </c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3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5"/>
    </row>
    <row r="413" hidden="1">
      <c r="A413" s="133" t="str">
        <f>IFERROR(__xludf.DUMMYFUNCTION("""COMPUTED_VALUE"""),"April'26")</f>
        <v>April'26</v>
      </c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3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5"/>
    </row>
    <row r="414" hidden="1">
      <c r="A414" s="133" t="str">
        <f>IFERROR(__xludf.DUMMYFUNCTION("""COMPUTED_VALUE"""),"April'26")</f>
        <v>April'26</v>
      </c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3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5"/>
    </row>
    <row r="415" hidden="1">
      <c r="A415" s="133" t="str">
        <f>IFERROR(__xludf.DUMMYFUNCTION("""COMPUTED_VALUE"""),"April'26")</f>
        <v>April'26</v>
      </c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3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5"/>
    </row>
    <row r="416" hidden="1">
      <c r="A416" s="133" t="str">
        <f>IFERROR(__xludf.DUMMYFUNCTION("""COMPUTED_VALUE"""),"April'26")</f>
        <v>April'26</v>
      </c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3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5"/>
    </row>
    <row r="417" hidden="1">
      <c r="A417" s="133" t="str">
        <f>IFERROR(__xludf.DUMMYFUNCTION("""COMPUTED_VALUE"""),"April'26")</f>
        <v>April'26</v>
      </c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3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5"/>
    </row>
    <row r="418" hidden="1">
      <c r="A418" s="133" t="str">
        <f>IFERROR(__xludf.DUMMYFUNCTION("""COMPUTED_VALUE"""),"April'26")</f>
        <v>April'26</v>
      </c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3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5"/>
    </row>
    <row r="419" hidden="1">
      <c r="A419" s="133" t="str">
        <f>IFERROR(__xludf.DUMMYFUNCTION("""COMPUTED_VALUE"""),"April'26")</f>
        <v>April'26</v>
      </c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3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5"/>
    </row>
    <row r="420" hidden="1">
      <c r="A420" s="133" t="str">
        <f>IFERROR(__xludf.DUMMYFUNCTION("""COMPUTED_VALUE"""),"April'26")</f>
        <v>April'26</v>
      </c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3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5"/>
    </row>
    <row r="421" hidden="1">
      <c r="A421" s="133" t="str">
        <f>IFERROR(__xludf.DUMMYFUNCTION("""COMPUTED_VALUE"""),"April'26")</f>
        <v>April'26</v>
      </c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3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5"/>
    </row>
    <row r="422" hidden="1">
      <c r="A422" s="133" t="str">
        <f>IFERROR(__xludf.DUMMYFUNCTION("""COMPUTED_VALUE"""),"April'26")</f>
        <v>April'26</v>
      </c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33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5"/>
    </row>
    <row r="423" hidden="1">
      <c r="A423" s="133" t="str">
        <f>IFERROR(__xludf.DUMMYFUNCTION("""COMPUTED_VALUE"""),"April'26")</f>
        <v>April'26</v>
      </c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33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5"/>
    </row>
    <row r="424" hidden="1">
      <c r="A424" s="133" t="str">
        <f>IFERROR(__xludf.DUMMYFUNCTION("""COMPUTED_VALUE"""),"April'26")</f>
        <v>April'26</v>
      </c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33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5"/>
    </row>
    <row r="425" hidden="1">
      <c r="A425" s="133" t="str">
        <f>IFERROR(__xludf.DUMMYFUNCTION("""COMPUTED_VALUE"""),"April'26")</f>
        <v>April'26</v>
      </c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3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5"/>
    </row>
    <row r="426" hidden="1">
      <c r="A426" s="133" t="str">
        <f>IFERROR(__xludf.DUMMYFUNCTION("""COMPUTED_VALUE"""),"April'26")</f>
        <v>April'26</v>
      </c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33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5"/>
    </row>
    <row r="427" hidden="1">
      <c r="A427" s="133" t="str">
        <f>IFERROR(__xludf.DUMMYFUNCTION("""COMPUTED_VALUE"""),"April'26")</f>
        <v>April'26</v>
      </c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3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5"/>
    </row>
    <row r="428" hidden="1">
      <c r="A428" s="133" t="str">
        <f>IFERROR(__xludf.DUMMYFUNCTION("""COMPUTED_VALUE"""),"April'26")</f>
        <v>April'26</v>
      </c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3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5"/>
    </row>
    <row r="429" hidden="1">
      <c r="A429" s="133" t="str">
        <f>IFERROR(__xludf.DUMMYFUNCTION("""COMPUTED_VALUE"""),"April'26")</f>
        <v>April'26</v>
      </c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3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5"/>
    </row>
    <row r="430" hidden="1">
      <c r="A430" s="133" t="str">
        <f>IFERROR(__xludf.DUMMYFUNCTION("""COMPUTED_VALUE"""),"April'26")</f>
        <v>April'26</v>
      </c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3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5"/>
    </row>
    <row r="431" hidden="1">
      <c r="A431" s="133" t="str">
        <f>IFERROR(__xludf.DUMMYFUNCTION("""COMPUTED_VALUE"""),"April'26")</f>
        <v>April'26</v>
      </c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3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5"/>
    </row>
    <row r="432" hidden="1">
      <c r="A432" s="133" t="str">
        <f>IFERROR(__xludf.DUMMYFUNCTION("""COMPUTED_VALUE"""),"April'26")</f>
        <v>April'26</v>
      </c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3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5"/>
    </row>
    <row r="433" hidden="1">
      <c r="A433" s="133" t="str">
        <f>IFERROR(__xludf.DUMMYFUNCTION("""COMPUTED_VALUE"""),"April'26")</f>
        <v>April'26</v>
      </c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3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5"/>
    </row>
    <row r="434" hidden="1">
      <c r="A434" s="133" t="str">
        <f>IFERROR(__xludf.DUMMYFUNCTION("""COMPUTED_VALUE"""),"April'26")</f>
        <v>April'26</v>
      </c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3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5"/>
    </row>
    <row r="435" hidden="1">
      <c r="A435" s="133" t="str">
        <f>IFERROR(__xludf.DUMMYFUNCTION("""COMPUTED_VALUE"""),"April'26")</f>
        <v>April'26</v>
      </c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3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5"/>
    </row>
    <row r="436" hidden="1">
      <c r="A436" s="133" t="str">
        <f>IFERROR(__xludf.DUMMYFUNCTION("""COMPUTED_VALUE"""),"April'26")</f>
        <v>April'26</v>
      </c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3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5"/>
    </row>
    <row r="437" hidden="1">
      <c r="A437" s="133" t="str">
        <f>IFERROR(__xludf.DUMMYFUNCTION("""COMPUTED_VALUE"""),"April'26")</f>
        <v>April'26</v>
      </c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3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5"/>
    </row>
    <row r="438" hidden="1">
      <c r="A438" s="133" t="str">
        <f>IFERROR(__xludf.DUMMYFUNCTION("""COMPUTED_VALUE"""),"April'26")</f>
        <v>April'26</v>
      </c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3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5"/>
    </row>
    <row r="439" hidden="1">
      <c r="A439" s="133" t="str">
        <f>IFERROR(__xludf.DUMMYFUNCTION("""COMPUTED_VALUE"""),"April'26")</f>
        <v>April'26</v>
      </c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3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5"/>
    </row>
    <row r="440" hidden="1">
      <c r="A440" s="133" t="str">
        <f>IFERROR(__xludf.DUMMYFUNCTION("""COMPUTED_VALUE"""),"April'26")</f>
        <v>April'26</v>
      </c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3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5"/>
    </row>
    <row r="441" hidden="1">
      <c r="A441" s="133" t="str">
        <f>IFERROR(__xludf.DUMMYFUNCTION("""COMPUTED_VALUE"""),"April'26")</f>
        <v>April'26</v>
      </c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3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5"/>
    </row>
    <row r="442" hidden="1">
      <c r="A442" s="133" t="str">
        <f>IFERROR(__xludf.DUMMYFUNCTION("""COMPUTED_VALUE"""),"April'26")</f>
        <v>April'26</v>
      </c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3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5"/>
    </row>
    <row r="443" hidden="1">
      <c r="A443" s="133" t="str">
        <f>IFERROR(__xludf.DUMMYFUNCTION("""COMPUTED_VALUE"""),"April'26")</f>
        <v>April'26</v>
      </c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3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5"/>
    </row>
    <row r="444" hidden="1">
      <c r="A444" s="133" t="str">
        <f>IFERROR(__xludf.DUMMYFUNCTION("""COMPUTED_VALUE"""),"April'26")</f>
        <v>April'26</v>
      </c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3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5"/>
    </row>
    <row r="445" hidden="1">
      <c r="A445" s="133" t="str">
        <f>IFERROR(__xludf.DUMMYFUNCTION("""COMPUTED_VALUE"""),"April'26")</f>
        <v>April'26</v>
      </c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3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5"/>
    </row>
    <row r="446" hidden="1">
      <c r="A446" s="133" t="str">
        <f>IFERROR(__xludf.DUMMYFUNCTION("""COMPUTED_VALUE"""),"April'26")</f>
        <v>April'26</v>
      </c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3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5"/>
    </row>
    <row r="447" hidden="1">
      <c r="A447" s="133" t="str">
        <f>IFERROR(__xludf.DUMMYFUNCTION("""COMPUTED_VALUE"""),"April'26")</f>
        <v>April'26</v>
      </c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3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5"/>
    </row>
    <row r="448" hidden="1">
      <c r="A448" s="133" t="str">
        <f>IFERROR(__xludf.DUMMYFUNCTION("""COMPUTED_VALUE"""),"April'26")</f>
        <v>April'26</v>
      </c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3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5"/>
    </row>
    <row r="449" hidden="1">
      <c r="A449" s="133" t="str">
        <f>IFERROR(__xludf.DUMMYFUNCTION("""COMPUTED_VALUE"""),"April'26")</f>
        <v>April'26</v>
      </c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3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5"/>
    </row>
    <row r="450" hidden="1">
      <c r="A450" s="133" t="str">
        <f>IFERROR(__xludf.DUMMYFUNCTION("""COMPUTED_VALUE"""),"April'26")</f>
        <v>April'26</v>
      </c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3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5"/>
    </row>
    <row r="451" hidden="1">
      <c r="A451" s="133" t="str">
        <f>IFERROR(__xludf.DUMMYFUNCTION("""COMPUTED_VALUE"""),"April'26")</f>
        <v>April'26</v>
      </c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3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5"/>
    </row>
    <row r="452" hidden="1">
      <c r="A452" s="133" t="str">
        <f>IFERROR(__xludf.DUMMYFUNCTION("""COMPUTED_VALUE"""),"April'26")</f>
        <v>April'26</v>
      </c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3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5"/>
    </row>
    <row r="453" hidden="1">
      <c r="A453" s="133" t="str">
        <f>IFERROR(__xludf.DUMMYFUNCTION("""COMPUTED_VALUE"""),"April'26")</f>
        <v>April'26</v>
      </c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3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5"/>
    </row>
    <row r="454" hidden="1">
      <c r="A454" s="133" t="str">
        <f>IFERROR(__xludf.DUMMYFUNCTION("""COMPUTED_VALUE"""),"April'26")</f>
        <v>April'26</v>
      </c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3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5"/>
    </row>
    <row r="455" hidden="1">
      <c r="A455" s="133" t="str">
        <f>IFERROR(__xludf.DUMMYFUNCTION("""COMPUTED_VALUE"""),"April'26")</f>
        <v>April'26</v>
      </c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3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5"/>
    </row>
    <row r="456" hidden="1">
      <c r="A456" s="133" t="str">
        <f>IFERROR(__xludf.DUMMYFUNCTION("""COMPUTED_VALUE"""),"April'26")</f>
        <v>April'26</v>
      </c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3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5"/>
    </row>
    <row r="457" hidden="1">
      <c r="A457" s="133" t="str">
        <f>IFERROR(__xludf.DUMMYFUNCTION("""COMPUTED_VALUE"""),"April'26")</f>
        <v>April'26</v>
      </c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3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5"/>
    </row>
    <row r="458" hidden="1">
      <c r="A458" s="133" t="str">
        <f>IFERROR(__xludf.DUMMYFUNCTION("""COMPUTED_VALUE"""),"April'26")</f>
        <v>April'26</v>
      </c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3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5"/>
    </row>
    <row r="459" hidden="1">
      <c r="A459" s="133" t="str">
        <f>IFERROR(__xludf.DUMMYFUNCTION("""COMPUTED_VALUE"""),"April'26")</f>
        <v>April'26</v>
      </c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33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5"/>
    </row>
    <row r="460" hidden="1">
      <c r="A460" s="133" t="str">
        <f>IFERROR(__xludf.DUMMYFUNCTION("""COMPUTED_VALUE"""),"April'26")</f>
        <v>April'26</v>
      </c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3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5"/>
    </row>
    <row r="461" hidden="1">
      <c r="A461" s="133" t="str">
        <f>IFERROR(__xludf.DUMMYFUNCTION("""COMPUTED_VALUE"""),"April'26")</f>
        <v>April'26</v>
      </c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3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5"/>
    </row>
    <row r="462" hidden="1">
      <c r="A462" s="133" t="str">
        <f>IFERROR(__xludf.DUMMYFUNCTION("""COMPUTED_VALUE"""),"April'26")</f>
        <v>April'26</v>
      </c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3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5"/>
    </row>
    <row r="463" hidden="1">
      <c r="A463" s="133" t="str">
        <f>IFERROR(__xludf.DUMMYFUNCTION("""COMPUTED_VALUE"""),"April'26")</f>
        <v>April'26</v>
      </c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3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5"/>
    </row>
    <row r="464" hidden="1">
      <c r="A464" s="133" t="str">
        <f>IFERROR(__xludf.DUMMYFUNCTION("""COMPUTED_VALUE"""),"April'26")</f>
        <v>April'26</v>
      </c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3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5"/>
    </row>
    <row r="465" hidden="1">
      <c r="A465" s="133" t="str">
        <f>IFERROR(__xludf.DUMMYFUNCTION("""COMPUTED_VALUE"""),"April'26")</f>
        <v>April'26</v>
      </c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3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5"/>
    </row>
    <row r="466" hidden="1">
      <c r="A466" s="133" t="str">
        <f>IFERROR(__xludf.DUMMYFUNCTION("""COMPUTED_VALUE"""),"April'26")</f>
        <v>April'26</v>
      </c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3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5"/>
    </row>
    <row r="467" hidden="1">
      <c r="A467" s="133" t="str">
        <f>IFERROR(__xludf.DUMMYFUNCTION("""COMPUTED_VALUE"""),"April'26")</f>
        <v>April'26</v>
      </c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3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5"/>
    </row>
    <row r="468" hidden="1">
      <c r="A468" s="133" t="str">
        <f>IFERROR(__xludf.DUMMYFUNCTION("""COMPUTED_VALUE"""),"April'26")</f>
        <v>April'26</v>
      </c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3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5"/>
    </row>
    <row r="469" hidden="1">
      <c r="A469" s="133" t="str">
        <f>IFERROR(__xludf.DUMMYFUNCTION("""COMPUTED_VALUE"""),"April'26")</f>
        <v>April'26</v>
      </c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3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5"/>
    </row>
    <row r="470" hidden="1">
      <c r="A470" s="133" t="str">
        <f>IFERROR(__xludf.DUMMYFUNCTION("""COMPUTED_VALUE"""),"April'26")</f>
        <v>April'26</v>
      </c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3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5"/>
    </row>
    <row r="471" hidden="1">
      <c r="A471" s="133" t="str">
        <f>IFERROR(__xludf.DUMMYFUNCTION("""COMPUTED_VALUE"""),"April'26")</f>
        <v>April'26</v>
      </c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3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5"/>
    </row>
    <row r="472" hidden="1">
      <c r="A472" s="133" t="str">
        <f>IFERROR(__xludf.DUMMYFUNCTION("""COMPUTED_VALUE"""),"April'26")</f>
        <v>April'26</v>
      </c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3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5"/>
    </row>
    <row r="473" hidden="1">
      <c r="A473" s="133" t="str">
        <f>IFERROR(__xludf.DUMMYFUNCTION("""COMPUTED_VALUE"""),"April'26")</f>
        <v>April'26</v>
      </c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3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5"/>
    </row>
    <row r="474" hidden="1">
      <c r="A474" s="133" t="str">
        <f>IFERROR(__xludf.DUMMYFUNCTION("""COMPUTED_VALUE"""),"April'26")</f>
        <v>April'26</v>
      </c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3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5"/>
    </row>
    <row r="475" hidden="1">
      <c r="A475" s="133" t="str">
        <f>IFERROR(__xludf.DUMMYFUNCTION("""COMPUTED_VALUE"""),"April'26")</f>
        <v>April'26</v>
      </c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3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5"/>
    </row>
    <row r="476" hidden="1">
      <c r="A476" s="133" t="str">
        <f>IFERROR(__xludf.DUMMYFUNCTION("""COMPUTED_VALUE"""),"April'26")</f>
        <v>April'26</v>
      </c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3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5"/>
    </row>
    <row r="477" hidden="1">
      <c r="A477" s="133" t="str">
        <f>IFERROR(__xludf.DUMMYFUNCTION("""COMPUTED_VALUE"""),"April'26")</f>
        <v>April'26</v>
      </c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3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5"/>
    </row>
    <row r="478" hidden="1">
      <c r="A478" s="133" t="str">
        <f>IFERROR(__xludf.DUMMYFUNCTION("""COMPUTED_VALUE"""),"April'26")</f>
        <v>April'26</v>
      </c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3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5"/>
    </row>
    <row r="479" hidden="1">
      <c r="A479" s="133" t="str">
        <f>IFERROR(__xludf.DUMMYFUNCTION("""COMPUTED_VALUE"""),"April'26")</f>
        <v>April'26</v>
      </c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3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5"/>
    </row>
    <row r="480" hidden="1">
      <c r="A480" s="133" t="str">
        <f>IFERROR(__xludf.DUMMYFUNCTION("""COMPUTED_VALUE"""),"April'26")</f>
        <v>April'26</v>
      </c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3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5"/>
    </row>
    <row r="481" hidden="1">
      <c r="A481" s="133" t="str">
        <f>IFERROR(__xludf.DUMMYFUNCTION("""COMPUTED_VALUE"""),"April'26")</f>
        <v>April'26</v>
      </c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3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5"/>
    </row>
    <row r="482" hidden="1">
      <c r="A482" s="133" t="str">
        <f>IFERROR(__xludf.DUMMYFUNCTION("""COMPUTED_VALUE"""),"April'26")</f>
        <v>April'26</v>
      </c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3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5"/>
    </row>
    <row r="483" hidden="1">
      <c r="A483" s="133" t="str">
        <f>IFERROR(__xludf.DUMMYFUNCTION("""COMPUTED_VALUE"""),"April'26")</f>
        <v>April'26</v>
      </c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3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5"/>
    </row>
    <row r="484" hidden="1">
      <c r="A484" s="133" t="str">
        <f>IFERROR(__xludf.DUMMYFUNCTION("""COMPUTED_VALUE"""),"April'26")</f>
        <v>April'26</v>
      </c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3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5"/>
    </row>
    <row r="485" hidden="1">
      <c r="A485" s="133" t="str">
        <f>IFERROR(__xludf.DUMMYFUNCTION("""COMPUTED_VALUE"""),"April'26")</f>
        <v>April'26</v>
      </c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3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5"/>
    </row>
    <row r="486" hidden="1">
      <c r="A486" s="133" t="str">
        <f>IFERROR(__xludf.DUMMYFUNCTION("""COMPUTED_VALUE"""),"April'26")</f>
        <v>April'26</v>
      </c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3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5"/>
    </row>
    <row r="487" hidden="1">
      <c r="A487" s="133" t="str">
        <f>IFERROR(__xludf.DUMMYFUNCTION("""COMPUTED_VALUE"""),"April'26")</f>
        <v>April'26</v>
      </c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3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5"/>
    </row>
    <row r="488" hidden="1">
      <c r="A488" s="133" t="str">
        <f>IFERROR(__xludf.DUMMYFUNCTION("""COMPUTED_VALUE"""),"April'26")</f>
        <v>April'26</v>
      </c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3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5"/>
    </row>
    <row r="489" hidden="1">
      <c r="A489" s="133" t="str">
        <f>IFERROR(__xludf.DUMMYFUNCTION("""COMPUTED_VALUE"""),"April'26")</f>
        <v>April'26</v>
      </c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3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5"/>
    </row>
    <row r="490" hidden="1">
      <c r="A490" s="133" t="str">
        <f>IFERROR(__xludf.DUMMYFUNCTION("""COMPUTED_VALUE"""),"April'26")</f>
        <v>April'26</v>
      </c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3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5"/>
    </row>
    <row r="491" hidden="1">
      <c r="A491" s="133" t="str">
        <f>IFERROR(__xludf.DUMMYFUNCTION("""COMPUTED_VALUE"""),"April'26")</f>
        <v>April'26</v>
      </c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3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5"/>
    </row>
    <row r="492" hidden="1">
      <c r="A492" s="133" t="str">
        <f>IFERROR(__xludf.DUMMYFUNCTION("""COMPUTED_VALUE"""),"April'26")</f>
        <v>April'26</v>
      </c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3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5"/>
    </row>
    <row r="493" hidden="1">
      <c r="A493" s="133" t="str">
        <f>IFERROR(__xludf.DUMMYFUNCTION("""COMPUTED_VALUE"""),"April'26")</f>
        <v>April'26</v>
      </c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3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5"/>
    </row>
    <row r="494" hidden="1">
      <c r="A494" s="133" t="str">
        <f>IFERROR(__xludf.DUMMYFUNCTION("""COMPUTED_VALUE"""),"April'26")</f>
        <v>April'26</v>
      </c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3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5"/>
    </row>
    <row r="495" hidden="1">
      <c r="A495" s="133" t="str">
        <f>IFERROR(__xludf.DUMMYFUNCTION("""COMPUTED_VALUE"""),"April'26")</f>
        <v>April'26</v>
      </c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3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5"/>
    </row>
    <row r="496" hidden="1">
      <c r="A496" s="133" t="str">
        <f>IFERROR(__xludf.DUMMYFUNCTION("""COMPUTED_VALUE"""),"April'26")</f>
        <v>April'26</v>
      </c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3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5"/>
    </row>
    <row r="497" hidden="1">
      <c r="A497" s="133" t="str">
        <f>IFERROR(__xludf.DUMMYFUNCTION("""COMPUTED_VALUE"""),"April'26")</f>
        <v>April'26</v>
      </c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3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5"/>
    </row>
    <row r="498" hidden="1">
      <c r="A498" s="133" t="str">
        <f>IFERROR(__xludf.DUMMYFUNCTION("""COMPUTED_VALUE"""),"April'26")</f>
        <v>April'26</v>
      </c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3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5"/>
    </row>
    <row r="499" hidden="1">
      <c r="A499" s="133" t="str">
        <f>IFERROR(__xludf.DUMMYFUNCTION("""COMPUTED_VALUE"""),"April'26")</f>
        <v>April'26</v>
      </c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3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5"/>
    </row>
    <row r="500" hidden="1">
      <c r="A500" s="133" t="str">
        <f>IFERROR(__xludf.DUMMYFUNCTION("""COMPUTED_VALUE"""),"April'26")</f>
        <v>April'26</v>
      </c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3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5"/>
    </row>
    <row r="501" hidden="1">
      <c r="A501" s="133" t="str">
        <f>IFERROR(__xludf.DUMMYFUNCTION("""COMPUTED_VALUE"""),"April'26")</f>
        <v>April'26</v>
      </c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33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5"/>
    </row>
    <row r="502" hidden="1">
      <c r="A502" s="133" t="str">
        <f>IFERROR(__xludf.DUMMYFUNCTION("""COMPUTED_VALUE"""),"April'26")</f>
        <v>April'26</v>
      </c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3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5"/>
    </row>
    <row r="503" hidden="1">
      <c r="A503" s="133" t="str">
        <f>IFERROR(__xludf.DUMMYFUNCTION("""COMPUTED_VALUE"""),"April'26")</f>
        <v>April'26</v>
      </c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3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5"/>
    </row>
    <row r="504" hidden="1">
      <c r="A504" s="133" t="str">
        <f>IFERROR(__xludf.DUMMYFUNCTION("""COMPUTED_VALUE"""),"April'26")</f>
        <v>April'26</v>
      </c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3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5"/>
    </row>
    <row r="505" hidden="1">
      <c r="A505" s="133" t="str">
        <f>IFERROR(__xludf.DUMMYFUNCTION("""COMPUTED_VALUE"""),"April'26")</f>
        <v>April'26</v>
      </c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3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5"/>
    </row>
    <row r="506" hidden="1">
      <c r="A506" s="133" t="str">
        <f>IFERROR(__xludf.DUMMYFUNCTION("""COMPUTED_VALUE"""),"April'26")</f>
        <v>April'26</v>
      </c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3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5"/>
    </row>
    <row r="507" hidden="1">
      <c r="A507" s="133" t="str">
        <f>IFERROR(__xludf.DUMMYFUNCTION("""COMPUTED_VALUE"""),"April'26")</f>
        <v>April'26</v>
      </c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3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5"/>
    </row>
    <row r="508" hidden="1">
      <c r="A508" s="133" t="str">
        <f>IFERROR(__xludf.DUMMYFUNCTION("""COMPUTED_VALUE"""),"April'26")</f>
        <v>April'26</v>
      </c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33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5"/>
    </row>
    <row r="509" hidden="1">
      <c r="A509" s="133" t="str">
        <f>IFERROR(__xludf.DUMMYFUNCTION("""COMPUTED_VALUE"""),"April'26")</f>
        <v>April'26</v>
      </c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3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5"/>
    </row>
    <row r="510" hidden="1">
      <c r="A510" s="133" t="str">
        <f>IFERROR(__xludf.DUMMYFUNCTION("""COMPUTED_VALUE"""),"April'26")</f>
        <v>April'26</v>
      </c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3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5"/>
    </row>
    <row r="511" hidden="1">
      <c r="A511" s="133" t="str">
        <f>IFERROR(__xludf.DUMMYFUNCTION("""COMPUTED_VALUE"""),"April'26")</f>
        <v>April'26</v>
      </c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3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5"/>
    </row>
    <row r="512" hidden="1">
      <c r="A512" s="133" t="str">
        <f>IFERROR(__xludf.DUMMYFUNCTION("""COMPUTED_VALUE"""),"April'26")</f>
        <v>April'26</v>
      </c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3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5"/>
    </row>
    <row r="513" hidden="1">
      <c r="A513" s="133" t="str">
        <f>IFERROR(__xludf.DUMMYFUNCTION("""COMPUTED_VALUE"""),"April'26")</f>
        <v>April'26</v>
      </c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3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5"/>
    </row>
    <row r="514" hidden="1">
      <c r="A514" s="133" t="str">
        <f>IFERROR(__xludf.DUMMYFUNCTION("""COMPUTED_VALUE"""),"April'26")</f>
        <v>April'26</v>
      </c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3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5"/>
    </row>
    <row r="515" hidden="1">
      <c r="A515" s="133" t="str">
        <f>IFERROR(__xludf.DUMMYFUNCTION("""COMPUTED_VALUE"""),"April'26")</f>
        <v>April'26</v>
      </c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3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5"/>
    </row>
    <row r="516" hidden="1">
      <c r="A516" s="133" t="str">
        <f>IFERROR(__xludf.DUMMYFUNCTION("""COMPUTED_VALUE"""),"April'26")</f>
        <v>April'26</v>
      </c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3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5"/>
    </row>
    <row r="517" hidden="1">
      <c r="A517" s="133" t="str">
        <f>IFERROR(__xludf.DUMMYFUNCTION("""COMPUTED_VALUE"""),"April'26")</f>
        <v>April'26</v>
      </c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3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5"/>
    </row>
    <row r="518" hidden="1">
      <c r="A518" s="133" t="str">
        <f>IFERROR(__xludf.DUMMYFUNCTION("""COMPUTED_VALUE"""),"April'26")</f>
        <v>April'26</v>
      </c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3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5"/>
    </row>
    <row r="519" hidden="1">
      <c r="A519" s="133" t="str">
        <f>IFERROR(__xludf.DUMMYFUNCTION("""COMPUTED_VALUE"""),"April'26")</f>
        <v>April'26</v>
      </c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3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5"/>
    </row>
    <row r="520" hidden="1">
      <c r="A520" s="133" t="str">
        <f>IFERROR(__xludf.DUMMYFUNCTION("""COMPUTED_VALUE"""),"April'26")</f>
        <v>April'26</v>
      </c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3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5"/>
    </row>
    <row r="521" hidden="1">
      <c r="A521" s="133" t="str">
        <f>IFERROR(__xludf.DUMMYFUNCTION("""COMPUTED_VALUE"""),"April'26")</f>
        <v>April'26</v>
      </c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3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5"/>
    </row>
    <row r="522" hidden="1">
      <c r="A522" s="133" t="str">
        <f>IFERROR(__xludf.DUMMYFUNCTION("""COMPUTED_VALUE"""),"April'26")</f>
        <v>April'26</v>
      </c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3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5"/>
    </row>
    <row r="523" hidden="1">
      <c r="A523" s="133" t="str">
        <f>IFERROR(__xludf.DUMMYFUNCTION("""COMPUTED_VALUE"""),"April'26")</f>
        <v>April'26</v>
      </c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3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5"/>
    </row>
    <row r="524" hidden="1">
      <c r="A524" s="133" t="str">
        <f>IFERROR(__xludf.DUMMYFUNCTION("""COMPUTED_VALUE"""),"April'26")</f>
        <v>April'26</v>
      </c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3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5"/>
    </row>
    <row r="525" hidden="1">
      <c r="A525" s="133" t="str">
        <f>IFERROR(__xludf.DUMMYFUNCTION("""COMPUTED_VALUE"""),"April'26")</f>
        <v>April'26</v>
      </c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3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5"/>
    </row>
    <row r="526" hidden="1">
      <c r="A526" s="133" t="str">
        <f>IFERROR(__xludf.DUMMYFUNCTION("""COMPUTED_VALUE"""),"April'26")</f>
        <v>April'26</v>
      </c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3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5"/>
    </row>
    <row r="527" hidden="1">
      <c r="A527" s="133" t="str">
        <f>IFERROR(__xludf.DUMMYFUNCTION("""COMPUTED_VALUE"""),"April'26")</f>
        <v>April'26</v>
      </c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3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5"/>
    </row>
    <row r="528" hidden="1">
      <c r="A528" s="133" t="str">
        <f>IFERROR(__xludf.DUMMYFUNCTION("""COMPUTED_VALUE"""),"April'26")</f>
        <v>April'26</v>
      </c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3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5"/>
    </row>
    <row r="529" hidden="1">
      <c r="A529" s="133" t="str">
        <f>IFERROR(__xludf.DUMMYFUNCTION("""COMPUTED_VALUE"""),"April'26")</f>
        <v>April'26</v>
      </c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3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5"/>
    </row>
    <row r="530" hidden="1">
      <c r="A530" s="133" t="str">
        <f>IFERROR(__xludf.DUMMYFUNCTION("""COMPUTED_VALUE"""),"April'26")</f>
        <v>April'26</v>
      </c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3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5"/>
    </row>
    <row r="531" hidden="1">
      <c r="A531" s="133" t="str">
        <f>IFERROR(__xludf.DUMMYFUNCTION("""COMPUTED_VALUE"""),"April'26")</f>
        <v>April'26</v>
      </c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3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5"/>
    </row>
    <row r="532" hidden="1">
      <c r="A532" s="133" t="str">
        <f>IFERROR(__xludf.DUMMYFUNCTION("""COMPUTED_VALUE"""),"April'26")</f>
        <v>April'26</v>
      </c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3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5"/>
    </row>
    <row r="533" hidden="1">
      <c r="A533" s="133" t="str">
        <f>IFERROR(__xludf.DUMMYFUNCTION("""COMPUTED_VALUE"""),"April'26")</f>
        <v>April'26</v>
      </c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3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5"/>
    </row>
    <row r="534" hidden="1">
      <c r="A534" s="133" t="str">
        <f>IFERROR(__xludf.DUMMYFUNCTION("""COMPUTED_VALUE"""),"April'26")</f>
        <v>April'26</v>
      </c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3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5"/>
    </row>
    <row r="535" hidden="1">
      <c r="A535" s="133" t="str">
        <f>IFERROR(__xludf.DUMMYFUNCTION("""COMPUTED_VALUE"""),"April'26")</f>
        <v>April'26</v>
      </c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3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5"/>
    </row>
    <row r="536" hidden="1">
      <c r="A536" s="133" t="str">
        <f>IFERROR(__xludf.DUMMYFUNCTION("""COMPUTED_VALUE"""),"April'26")</f>
        <v>April'26</v>
      </c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3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5"/>
    </row>
    <row r="537" hidden="1">
      <c r="A537" s="133" t="str">
        <f>IFERROR(__xludf.DUMMYFUNCTION("""COMPUTED_VALUE"""),"April'26")</f>
        <v>April'26</v>
      </c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3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5"/>
    </row>
    <row r="538" hidden="1">
      <c r="A538" s="133" t="str">
        <f>IFERROR(__xludf.DUMMYFUNCTION("""COMPUTED_VALUE"""),"April'26")</f>
        <v>April'26</v>
      </c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3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5"/>
    </row>
    <row r="539" hidden="1">
      <c r="A539" s="133" t="str">
        <f>IFERROR(__xludf.DUMMYFUNCTION("""COMPUTED_VALUE"""),"April'26")</f>
        <v>April'26</v>
      </c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3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5"/>
    </row>
    <row r="540" hidden="1">
      <c r="A540" s="133" t="str">
        <f>IFERROR(__xludf.DUMMYFUNCTION("""COMPUTED_VALUE"""),"April'26")</f>
        <v>April'26</v>
      </c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3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5"/>
    </row>
    <row r="541" hidden="1">
      <c r="A541" s="133" t="str">
        <f>IFERROR(__xludf.DUMMYFUNCTION("""COMPUTED_VALUE"""),"April'26")</f>
        <v>April'26</v>
      </c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3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5"/>
    </row>
    <row r="542" hidden="1">
      <c r="A542" s="133" t="str">
        <f>IFERROR(__xludf.DUMMYFUNCTION("""COMPUTED_VALUE"""),"April'26")</f>
        <v>April'26</v>
      </c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3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5"/>
    </row>
    <row r="543" hidden="1">
      <c r="A543" s="133" t="str">
        <f>IFERROR(__xludf.DUMMYFUNCTION("""COMPUTED_VALUE"""),"April'26")</f>
        <v>April'26</v>
      </c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3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5"/>
    </row>
    <row r="544" hidden="1">
      <c r="A544" s="133" t="str">
        <f>IFERROR(__xludf.DUMMYFUNCTION("""COMPUTED_VALUE"""),"April'26")</f>
        <v>April'26</v>
      </c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3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5"/>
    </row>
    <row r="545" hidden="1">
      <c r="A545" s="133" t="str">
        <f>IFERROR(__xludf.DUMMYFUNCTION("""COMPUTED_VALUE"""),"April'26")</f>
        <v>April'26</v>
      </c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3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5"/>
    </row>
    <row r="546" hidden="1">
      <c r="A546" s="133" t="str">
        <f>IFERROR(__xludf.DUMMYFUNCTION("""COMPUTED_VALUE"""),"April'26")</f>
        <v>April'26</v>
      </c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3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5"/>
    </row>
    <row r="547" hidden="1">
      <c r="A547" s="133" t="str">
        <f>IFERROR(__xludf.DUMMYFUNCTION("""COMPUTED_VALUE"""),"April'26")</f>
        <v>April'26</v>
      </c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3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5"/>
    </row>
    <row r="548" hidden="1">
      <c r="A548" s="133" t="str">
        <f>IFERROR(__xludf.DUMMYFUNCTION("""COMPUTED_VALUE"""),"April'26")</f>
        <v>April'26</v>
      </c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3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5"/>
    </row>
    <row r="549" hidden="1">
      <c r="A549" s="133" t="str">
        <f>IFERROR(__xludf.DUMMYFUNCTION("""COMPUTED_VALUE"""),"April'26")</f>
        <v>April'26</v>
      </c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3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5"/>
    </row>
    <row r="550" hidden="1">
      <c r="A550" s="133" t="str">
        <f>IFERROR(__xludf.DUMMYFUNCTION("""COMPUTED_VALUE"""),"April'26")</f>
        <v>April'26</v>
      </c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3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5"/>
    </row>
    <row r="551" hidden="1">
      <c r="A551" s="133" t="str">
        <f>IFERROR(__xludf.DUMMYFUNCTION("""COMPUTED_VALUE"""),"April'26")</f>
        <v>April'26</v>
      </c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3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5"/>
    </row>
    <row r="552" hidden="1">
      <c r="A552" s="133" t="str">
        <f>IFERROR(__xludf.DUMMYFUNCTION("""COMPUTED_VALUE"""),"April'26")</f>
        <v>April'26</v>
      </c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3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5"/>
    </row>
    <row r="553" hidden="1">
      <c r="A553" s="133" t="str">
        <f>IFERROR(__xludf.DUMMYFUNCTION("""COMPUTED_VALUE"""),"April'26")</f>
        <v>April'26</v>
      </c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3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5"/>
    </row>
    <row r="554" hidden="1">
      <c r="A554" s="133" t="str">
        <f>IFERROR(__xludf.DUMMYFUNCTION("""COMPUTED_VALUE"""),"April'26")</f>
        <v>April'26</v>
      </c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3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5"/>
    </row>
    <row r="555" hidden="1">
      <c r="A555" s="133" t="str">
        <f>IFERROR(__xludf.DUMMYFUNCTION("""COMPUTED_VALUE"""),"April'26")</f>
        <v>April'26</v>
      </c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3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5"/>
    </row>
    <row r="556" hidden="1">
      <c r="A556" s="133" t="str">
        <f>IFERROR(__xludf.DUMMYFUNCTION("""COMPUTED_VALUE"""),"April'26")</f>
        <v>April'26</v>
      </c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3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5"/>
    </row>
    <row r="557" hidden="1">
      <c r="A557" s="133" t="str">
        <f>IFERROR(__xludf.DUMMYFUNCTION("""COMPUTED_VALUE"""),"April'26")</f>
        <v>April'26</v>
      </c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3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5"/>
    </row>
    <row r="558" hidden="1">
      <c r="A558" s="133" t="str">
        <f>IFERROR(__xludf.DUMMYFUNCTION("""COMPUTED_VALUE"""),"April'26")</f>
        <v>April'26</v>
      </c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3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5"/>
    </row>
    <row r="559" hidden="1">
      <c r="A559" s="133" t="str">
        <f>IFERROR(__xludf.DUMMYFUNCTION("""COMPUTED_VALUE"""),"April'26")</f>
        <v>April'26</v>
      </c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3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5"/>
    </row>
    <row r="560" hidden="1">
      <c r="A560" s="133" t="str">
        <f>IFERROR(__xludf.DUMMYFUNCTION("""COMPUTED_VALUE"""),"April'26")</f>
        <v>April'26</v>
      </c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3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5"/>
    </row>
    <row r="561" hidden="1">
      <c r="A561" s="133" t="str">
        <f>IFERROR(__xludf.DUMMYFUNCTION("""COMPUTED_VALUE"""),"April'26")</f>
        <v>April'26</v>
      </c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3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5"/>
    </row>
    <row r="562" hidden="1">
      <c r="A562" s="133" t="str">
        <f>IFERROR(__xludf.DUMMYFUNCTION("""COMPUTED_VALUE"""),"April'26")</f>
        <v>April'26</v>
      </c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3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5"/>
    </row>
    <row r="563" hidden="1">
      <c r="A563" s="133" t="str">
        <f>IFERROR(__xludf.DUMMYFUNCTION("""COMPUTED_VALUE"""),"April'26")</f>
        <v>April'26</v>
      </c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3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5"/>
    </row>
    <row r="564" hidden="1">
      <c r="A564" s="133" t="str">
        <f>IFERROR(__xludf.DUMMYFUNCTION("""COMPUTED_VALUE"""),"April'26")</f>
        <v>April'26</v>
      </c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3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5"/>
    </row>
    <row r="565" hidden="1">
      <c r="A565" s="133" t="str">
        <f>IFERROR(__xludf.DUMMYFUNCTION("""COMPUTED_VALUE"""),"April'26")</f>
        <v>April'26</v>
      </c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3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5"/>
    </row>
    <row r="566" hidden="1">
      <c r="A566" s="133" t="str">
        <f>IFERROR(__xludf.DUMMYFUNCTION("""COMPUTED_VALUE"""),"April'26")</f>
        <v>April'26</v>
      </c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3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5"/>
    </row>
    <row r="567" hidden="1">
      <c r="A567" s="133" t="str">
        <f>IFERROR(__xludf.DUMMYFUNCTION("""COMPUTED_VALUE"""),"April'26")</f>
        <v>April'26</v>
      </c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3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5"/>
    </row>
    <row r="568" hidden="1">
      <c r="A568" s="133" t="str">
        <f>IFERROR(__xludf.DUMMYFUNCTION("""COMPUTED_VALUE"""),"April'26")</f>
        <v>April'26</v>
      </c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3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5"/>
    </row>
    <row r="569" hidden="1">
      <c r="A569" s="133" t="str">
        <f>IFERROR(__xludf.DUMMYFUNCTION("""COMPUTED_VALUE"""),"April'26")</f>
        <v>April'26</v>
      </c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3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5"/>
    </row>
    <row r="570" hidden="1">
      <c r="A570" s="133" t="str">
        <f>IFERROR(__xludf.DUMMYFUNCTION("""COMPUTED_VALUE"""),"April'26")</f>
        <v>April'26</v>
      </c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3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5"/>
    </row>
    <row r="571" hidden="1">
      <c r="A571" s="133" t="str">
        <f>IFERROR(__xludf.DUMMYFUNCTION("""COMPUTED_VALUE"""),"April'26")</f>
        <v>April'26</v>
      </c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3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5"/>
    </row>
    <row r="572" hidden="1">
      <c r="A572" s="133" t="str">
        <f>IFERROR(__xludf.DUMMYFUNCTION("""COMPUTED_VALUE"""),"April'26")</f>
        <v>April'26</v>
      </c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3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5"/>
    </row>
    <row r="573" hidden="1">
      <c r="A573" s="133" t="str">
        <f>IFERROR(__xludf.DUMMYFUNCTION("""COMPUTED_VALUE"""),"April'26")</f>
        <v>April'26</v>
      </c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3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5"/>
    </row>
    <row r="574" hidden="1">
      <c r="A574" s="133" t="str">
        <f>IFERROR(__xludf.DUMMYFUNCTION("""COMPUTED_VALUE"""),"April'26")</f>
        <v>April'26</v>
      </c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3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5"/>
    </row>
    <row r="575" hidden="1">
      <c r="A575" s="133" t="str">
        <f>IFERROR(__xludf.DUMMYFUNCTION("""COMPUTED_VALUE"""),"April'26")</f>
        <v>April'26</v>
      </c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3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5"/>
    </row>
    <row r="576" hidden="1">
      <c r="A576" s="133" t="str">
        <f>IFERROR(__xludf.DUMMYFUNCTION("""COMPUTED_VALUE"""),"April'26")</f>
        <v>April'26</v>
      </c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3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5"/>
    </row>
    <row r="577" hidden="1">
      <c r="A577" s="133" t="str">
        <f>IFERROR(__xludf.DUMMYFUNCTION("""COMPUTED_VALUE"""),"April'26")</f>
        <v>April'26</v>
      </c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3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5"/>
    </row>
    <row r="578" hidden="1">
      <c r="A578" s="133" t="str">
        <f>IFERROR(__xludf.DUMMYFUNCTION("""COMPUTED_VALUE"""),"April'26")</f>
        <v>April'26</v>
      </c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3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5"/>
    </row>
    <row r="579" hidden="1">
      <c r="A579" s="133" t="str">
        <f>IFERROR(__xludf.DUMMYFUNCTION("""COMPUTED_VALUE"""),"April'26")</f>
        <v>April'26</v>
      </c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3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5"/>
    </row>
    <row r="580" hidden="1">
      <c r="A580" s="133" t="str">
        <f>IFERROR(__xludf.DUMMYFUNCTION("""COMPUTED_VALUE"""),"April'26")</f>
        <v>April'26</v>
      </c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3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5"/>
    </row>
    <row r="581" hidden="1">
      <c r="A581" s="133" t="str">
        <f>IFERROR(__xludf.DUMMYFUNCTION("""COMPUTED_VALUE"""),"April'26")</f>
        <v>April'26</v>
      </c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3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5"/>
    </row>
    <row r="582" hidden="1">
      <c r="A582" s="133" t="str">
        <f>IFERROR(__xludf.DUMMYFUNCTION("""COMPUTED_VALUE"""),"April'26")</f>
        <v>April'26</v>
      </c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3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5"/>
    </row>
    <row r="583" hidden="1">
      <c r="A583" s="133" t="str">
        <f>IFERROR(__xludf.DUMMYFUNCTION("""COMPUTED_VALUE"""),"April'26")</f>
        <v>April'26</v>
      </c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3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5"/>
    </row>
    <row r="584" hidden="1">
      <c r="A584" s="133" t="str">
        <f>IFERROR(__xludf.DUMMYFUNCTION("""COMPUTED_VALUE"""),"April'26")</f>
        <v>April'26</v>
      </c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3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5"/>
    </row>
    <row r="585" hidden="1">
      <c r="A585" s="133" t="str">
        <f>IFERROR(__xludf.DUMMYFUNCTION("""COMPUTED_VALUE"""),"April'26")</f>
        <v>April'26</v>
      </c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3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5"/>
    </row>
    <row r="586" hidden="1">
      <c r="A586" s="133" t="str">
        <f>IFERROR(__xludf.DUMMYFUNCTION("""COMPUTED_VALUE"""),"April'26")</f>
        <v>April'26</v>
      </c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3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5"/>
    </row>
    <row r="587" hidden="1">
      <c r="A587" s="133" t="str">
        <f>IFERROR(__xludf.DUMMYFUNCTION("""COMPUTED_VALUE"""),"April'26")</f>
        <v>April'26</v>
      </c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3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5"/>
    </row>
    <row r="588" hidden="1">
      <c r="A588" s="133" t="str">
        <f>IFERROR(__xludf.DUMMYFUNCTION("""COMPUTED_VALUE"""),"April'26")</f>
        <v>April'26</v>
      </c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3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5"/>
    </row>
    <row r="589" hidden="1">
      <c r="A589" s="133" t="str">
        <f>IFERROR(__xludf.DUMMYFUNCTION("""COMPUTED_VALUE"""),"April'26")</f>
        <v>April'26</v>
      </c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3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5"/>
    </row>
    <row r="590" hidden="1">
      <c r="A590" s="133" t="str">
        <f>IFERROR(__xludf.DUMMYFUNCTION("""COMPUTED_VALUE"""),"April'26")</f>
        <v>April'26</v>
      </c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3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5"/>
    </row>
    <row r="591" hidden="1">
      <c r="A591" s="133" t="str">
        <f>IFERROR(__xludf.DUMMYFUNCTION("""COMPUTED_VALUE"""),"April'26")</f>
        <v>April'26</v>
      </c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3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5"/>
    </row>
    <row r="592" hidden="1">
      <c r="A592" s="133" t="str">
        <f>IFERROR(__xludf.DUMMYFUNCTION("""COMPUTED_VALUE"""),"April'26")</f>
        <v>April'26</v>
      </c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33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5"/>
    </row>
    <row r="593" hidden="1">
      <c r="A593" s="133" t="str">
        <f>IFERROR(__xludf.DUMMYFUNCTION("""COMPUTED_VALUE"""),"April'26")</f>
        <v>April'26</v>
      </c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3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5"/>
    </row>
    <row r="594" hidden="1">
      <c r="A594" s="133" t="str">
        <f>IFERROR(__xludf.DUMMYFUNCTION("""COMPUTED_VALUE"""),"April'26")</f>
        <v>April'26</v>
      </c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3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5"/>
    </row>
    <row r="595" hidden="1">
      <c r="A595" s="133" t="str">
        <f>IFERROR(__xludf.DUMMYFUNCTION("""COMPUTED_VALUE"""),"April'26")</f>
        <v>April'26</v>
      </c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3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5"/>
    </row>
    <row r="596" hidden="1">
      <c r="A596" s="133" t="str">
        <f>IFERROR(__xludf.DUMMYFUNCTION("""COMPUTED_VALUE"""),"April'26")</f>
        <v>April'26</v>
      </c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3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5"/>
    </row>
    <row r="597" hidden="1">
      <c r="A597" s="133" t="str">
        <f>IFERROR(__xludf.DUMMYFUNCTION("""COMPUTED_VALUE"""),"April'26")</f>
        <v>April'26</v>
      </c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3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5"/>
    </row>
    <row r="598" hidden="1">
      <c r="A598" s="133" t="str">
        <f>IFERROR(__xludf.DUMMYFUNCTION("""COMPUTED_VALUE"""),"April'26")</f>
        <v>April'26</v>
      </c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3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5"/>
    </row>
    <row r="599" hidden="1">
      <c r="A599" s="133" t="str">
        <f>IFERROR(__xludf.DUMMYFUNCTION("""COMPUTED_VALUE"""),"April'26")</f>
        <v>April'26</v>
      </c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3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5"/>
    </row>
    <row r="600" hidden="1">
      <c r="A600" s="133" t="str">
        <f>IFERROR(__xludf.DUMMYFUNCTION("""COMPUTED_VALUE"""),"April'26")</f>
        <v>April'26</v>
      </c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3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5"/>
    </row>
    <row r="601" hidden="1">
      <c r="A601" s="133" t="str">
        <f>IFERROR(__xludf.DUMMYFUNCTION("""COMPUTED_VALUE"""),"April'26")</f>
        <v>April'26</v>
      </c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3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5"/>
    </row>
    <row r="602" hidden="1">
      <c r="A602" s="133" t="str">
        <f>IFERROR(__xludf.DUMMYFUNCTION("""COMPUTED_VALUE"""),"April'26")</f>
        <v>April'26</v>
      </c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3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5"/>
    </row>
    <row r="603" hidden="1">
      <c r="A603" s="133" t="str">
        <f>IFERROR(__xludf.DUMMYFUNCTION("""COMPUTED_VALUE"""),"April'26")</f>
        <v>April'26</v>
      </c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3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5"/>
    </row>
    <row r="604" hidden="1">
      <c r="A604" s="133" t="str">
        <f>IFERROR(__xludf.DUMMYFUNCTION("""COMPUTED_VALUE"""),"April'26")</f>
        <v>April'26</v>
      </c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3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5"/>
    </row>
    <row r="605" hidden="1">
      <c r="A605" s="133" t="str">
        <f>IFERROR(__xludf.DUMMYFUNCTION("""COMPUTED_VALUE"""),"April'26")</f>
        <v>April'26</v>
      </c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3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5"/>
    </row>
    <row r="606" hidden="1">
      <c r="A606" s="133" t="str">
        <f>IFERROR(__xludf.DUMMYFUNCTION("""COMPUTED_VALUE"""),"April'26")</f>
        <v>April'26</v>
      </c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3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5"/>
    </row>
    <row r="607" hidden="1">
      <c r="A607" s="133" t="str">
        <f>IFERROR(__xludf.DUMMYFUNCTION("""COMPUTED_VALUE"""),"April'26")</f>
        <v>April'26</v>
      </c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3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5"/>
    </row>
    <row r="608" hidden="1">
      <c r="A608" s="133" t="str">
        <f>IFERROR(__xludf.DUMMYFUNCTION("""COMPUTED_VALUE"""),"April'26")</f>
        <v>April'26</v>
      </c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3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5"/>
    </row>
    <row r="609" hidden="1">
      <c r="A609" s="133" t="str">
        <f>IFERROR(__xludf.DUMMYFUNCTION("""COMPUTED_VALUE"""),"April'26")</f>
        <v>April'26</v>
      </c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3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5"/>
    </row>
    <row r="610" hidden="1">
      <c r="A610" s="133" t="str">
        <f>IFERROR(__xludf.DUMMYFUNCTION("""COMPUTED_VALUE"""),"April'26")</f>
        <v>April'26</v>
      </c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3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5"/>
    </row>
    <row r="611" hidden="1">
      <c r="A611" s="133" t="str">
        <f>IFERROR(__xludf.DUMMYFUNCTION("""COMPUTED_VALUE"""),"April'26")</f>
        <v>April'26</v>
      </c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3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5"/>
    </row>
    <row r="612" hidden="1">
      <c r="A612" s="133" t="str">
        <f>IFERROR(__xludf.DUMMYFUNCTION("""COMPUTED_VALUE"""),"April'26")</f>
        <v>April'26</v>
      </c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3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5"/>
    </row>
    <row r="613" hidden="1">
      <c r="A613" s="133" t="str">
        <f>IFERROR(__xludf.DUMMYFUNCTION("""COMPUTED_VALUE"""),"April'26")</f>
        <v>April'26</v>
      </c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3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5"/>
    </row>
    <row r="614" hidden="1">
      <c r="A614" s="133" t="str">
        <f>IFERROR(__xludf.DUMMYFUNCTION("""COMPUTED_VALUE"""),"April'26")</f>
        <v>April'26</v>
      </c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3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5"/>
    </row>
    <row r="615" hidden="1">
      <c r="A615" s="133" t="str">
        <f>IFERROR(__xludf.DUMMYFUNCTION("""COMPUTED_VALUE"""),"April'26")</f>
        <v>April'26</v>
      </c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3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5"/>
    </row>
    <row r="616" hidden="1">
      <c r="A616" s="133" t="str">
        <f>IFERROR(__xludf.DUMMYFUNCTION("""COMPUTED_VALUE"""),"April'26")</f>
        <v>April'26</v>
      </c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3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5"/>
    </row>
    <row r="617" hidden="1">
      <c r="A617" s="133" t="str">
        <f>IFERROR(__xludf.DUMMYFUNCTION("""COMPUTED_VALUE"""),"April'26")</f>
        <v>April'26</v>
      </c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3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5"/>
    </row>
    <row r="618" hidden="1">
      <c r="A618" s="133" t="str">
        <f>IFERROR(__xludf.DUMMYFUNCTION("""COMPUTED_VALUE"""),"April'26")</f>
        <v>April'26</v>
      </c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3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5"/>
    </row>
    <row r="619" hidden="1">
      <c r="A619" s="133" t="str">
        <f>IFERROR(__xludf.DUMMYFUNCTION("""COMPUTED_VALUE"""),"April'26")</f>
        <v>April'26</v>
      </c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3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5"/>
    </row>
    <row r="620" hidden="1">
      <c r="A620" s="133" t="str">
        <f>IFERROR(__xludf.DUMMYFUNCTION("""COMPUTED_VALUE"""),"April'26")</f>
        <v>April'26</v>
      </c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3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5"/>
    </row>
    <row r="621" hidden="1">
      <c r="A621" s="133" t="str">
        <f>IFERROR(__xludf.DUMMYFUNCTION("""COMPUTED_VALUE"""),"April'26")</f>
        <v>April'26</v>
      </c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3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5"/>
    </row>
    <row r="622" hidden="1">
      <c r="A622" s="133" t="str">
        <f>IFERROR(__xludf.DUMMYFUNCTION("""COMPUTED_VALUE"""),"April'26")</f>
        <v>April'26</v>
      </c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3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5"/>
    </row>
    <row r="623" hidden="1">
      <c r="A623" s="133" t="str">
        <f>IFERROR(__xludf.DUMMYFUNCTION("""COMPUTED_VALUE"""),"April'26")</f>
        <v>April'26</v>
      </c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3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5"/>
    </row>
    <row r="624" hidden="1">
      <c r="A624" s="133" t="str">
        <f>IFERROR(__xludf.DUMMYFUNCTION("""COMPUTED_VALUE"""),"April'26")</f>
        <v>April'26</v>
      </c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3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5"/>
    </row>
    <row r="625" hidden="1">
      <c r="A625" s="133" t="str">
        <f>IFERROR(__xludf.DUMMYFUNCTION("""COMPUTED_VALUE"""),"April'26")</f>
        <v>April'26</v>
      </c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33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5"/>
    </row>
    <row r="626" hidden="1">
      <c r="A626" s="133" t="str">
        <f>IFERROR(__xludf.DUMMYFUNCTION("""COMPUTED_VALUE"""),"April'26")</f>
        <v>April'26</v>
      </c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3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5"/>
    </row>
    <row r="627" hidden="1">
      <c r="A627" s="133" t="str">
        <f>IFERROR(__xludf.DUMMYFUNCTION("""COMPUTED_VALUE"""),"April'26")</f>
        <v>April'26</v>
      </c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3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5"/>
    </row>
    <row r="628" hidden="1">
      <c r="A628" s="133" t="str">
        <f>IFERROR(__xludf.DUMMYFUNCTION("""COMPUTED_VALUE"""),"April'26")</f>
        <v>April'26</v>
      </c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3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5"/>
    </row>
    <row r="629" hidden="1">
      <c r="A629" s="133" t="str">
        <f>IFERROR(__xludf.DUMMYFUNCTION("""COMPUTED_VALUE"""),"April'26")</f>
        <v>April'26</v>
      </c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3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5"/>
    </row>
    <row r="630" hidden="1">
      <c r="A630" s="133" t="str">
        <f>IFERROR(__xludf.DUMMYFUNCTION("""COMPUTED_VALUE"""),"April'26")</f>
        <v>April'26</v>
      </c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3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5"/>
    </row>
    <row r="631" hidden="1">
      <c r="A631" s="133" t="str">
        <f>IFERROR(__xludf.DUMMYFUNCTION("""COMPUTED_VALUE"""),"April'26")</f>
        <v>April'26</v>
      </c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3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5"/>
    </row>
    <row r="632" hidden="1">
      <c r="A632" s="133" t="str">
        <f>IFERROR(__xludf.DUMMYFUNCTION("""COMPUTED_VALUE"""),"April'26")</f>
        <v>April'26</v>
      </c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3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5"/>
    </row>
    <row r="633" hidden="1">
      <c r="A633" s="133" t="str">
        <f>IFERROR(__xludf.DUMMYFUNCTION("""COMPUTED_VALUE"""),"April'26")</f>
        <v>April'26</v>
      </c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3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5"/>
    </row>
    <row r="634" hidden="1">
      <c r="A634" s="133" t="str">
        <f>IFERROR(__xludf.DUMMYFUNCTION("""COMPUTED_VALUE"""),"April'26")</f>
        <v>April'26</v>
      </c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3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5"/>
    </row>
    <row r="635" hidden="1">
      <c r="A635" s="133" t="str">
        <f>IFERROR(__xludf.DUMMYFUNCTION("""COMPUTED_VALUE"""),"April'26")</f>
        <v>April'26</v>
      </c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3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5"/>
    </row>
    <row r="636" hidden="1">
      <c r="A636" s="133" t="str">
        <f>IFERROR(__xludf.DUMMYFUNCTION("""COMPUTED_VALUE"""),"April'26")</f>
        <v>April'26</v>
      </c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3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5"/>
    </row>
    <row r="637" hidden="1">
      <c r="A637" s="133" t="str">
        <f>IFERROR(__xludf.DUMMYFUNCTION("""COMPUTED_VALUE"""),"April'26")</f>
        <v>April'26</v>
      </c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3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5"/>
    </row>
    <row r="638" hidden="1">
      <c r="A638" s="133" t="str">
        <f>IFERROR(__xludf.DUMMYFUNCTION("""COMPUTED_VALUE"""),"April'26")</f>
        <v>April'26</v>
      </c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3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5"/>
    </row>
    <row r="639" hidden="1">
      <c r="A639" s="133" t="str">
        <f>IFERROR(__xludf.DUMMYFUNCTION("""COMPUTED_VALUE"""),"April'26")</f>
        <v>April'26</v>
      </c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3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5"/>
    </row>
    <row r="640" hidden="1">
      <c r="A640" s="133" t="str">
        <f>IFERROR(__xludf.DUMMYFUNCTION("""COMPUTED_VALUE"""),"April'26")</f>
        <v>April'26</v>
      </c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3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5"/>
    </row>
    <row r="641" hidden="1">
      <c r="A641" s="133" t="str">
        <f>IFERROR(__xludf.DUMMYFUNCTION("""COMPUTED_VALUE"""),"April'26")</f>
        <v>April'26</v>
      </c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3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5"/>
    </row>
    <row r="642" hidden="1">
      <c r="A642" s="133" t="str">
        <f>IFERROR(__xludf.DUMMYFUNCTION("""COMPUTED_VALUE"""),"April'26")</f>
        <v>April'26</v>
      </c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3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5"/>
    </row>
    <row r="643" hidden="1">
      <c r="A643" s="133" t="str">
        <f>IFERROR(__xludf.DUMMYFUNCTION("""COMPUTED_VALUE"""),"April'26")</f>
        <v>April'26</v>
      </c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3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5"/>
    </row>
    <row r="644" hidden="1">
      <c r="A644" s="133" t="str">
        <f>IFERROR(__xludf.DUMMYFUNCTION("""COMPUTED_VALUE"""),"April'26")</f>
        <v>April'26</v>
      </c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3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5"/>
    </row>
    <row r="645" hidden="1">
      <c r="A645" s="133" t="str">
        <f>IFERROR(__xludf.DUMMYFUNCTION("""COMPUTED_VALUE"""),"April'26")</f>
        <v>April'26</v>
      </c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3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5"/>
    </row>
    <row r="646" hidden="1">
      <c r="A646" s="133" t="str">
        <f>IFERROR(__xludf.DUMMYFUNCTION("""COMPUTED_VALUE"""),"April'26")</f>
        <v>April'26</v>
      </c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3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5"/>
    </row>
    <row r="647" hidden="1">
      <c r="A647" s="133" t="str">
        <f>IFERROR(__xludf.DUMMYFUNCTION("""COMPUTED_VALUE"""),"April'26")</f>
        <v>April'26</v>
      </c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3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5"/>
    </row>
    <row r="648" hidden="1">
      <c r="A648" s="133" t="str">
        <f>IFERROR(__xludf.DUMMYFUNCTION("""COMPUTED_VALUE"""),"April'26")</f>
        <v>April'26</v>
      </c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3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5"/>
    </row>
    <row r="649" hidden="1">
      <c r="A649" s="133" t="str">
        <f>IFERROR(__xludf.DUMMYFUNCTION("""COMPUTED_VALUE"""),"April'26")</f>
        <v>April'26</v>
      </c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3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5"/>
    </row>
    <row r="650" hidden="1">
      <c r="A650" s="133" t="str">
        <f>IFERROR(__xludf.DUMMYFUNCTION("""COMPUTED_VALUE"""),"April'26")</f>
        <v>April'26</v>
      </c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3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5"/>
    </row>
    <row r="651" hidden="1">
      <c r="A651" s="133" t="str">
        <f>IFERROR(__xludf.DUMMYFUNCTION("""COMPUTED_VALUE"""),"April'26")</f>
        <v>April'26</v>
      </c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3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5"/>
    </row>
    <row r="652" hidden="1">
      <c r="A652" s="133" t="str">
        <f>IFERROR(__xludf.DUMMYFUNCTION("""COMPUTED_VALUE"""),"April'26")</f>
        <v>April'26</v>
      </c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3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5"/>
    </row>
    <row r="653" hidden="1">
      <c r="A653" s="133" t="str">
        <f>IFERROR(__xludf.DUMMYFUNCTION("""COMPUTED_VALUE"""),"April'26")</f>
        <v>April'26</v>
      </c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3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5"/>
    </row>
    <row r="654" hidden="1">
      <c r="A654" s="133" t="str">
        <f>IFERROR(__xludf.DUMMYFUNCTION("""COMPUTED_VALUE"""),"April'26")</f>
        <v>April'26</v>
      </c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3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5"/>
    </row>
    <row r="655" hidden="1">
      <c r="A655" s="133" t="str">
        <f>IFERROR(__xludf.DUMMYFUNCTION("""COMPUTED_VALUE"""),"April'26")</f>
        <v>April'26</v>
      </c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3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5"/>
    </row>
    <row r="656" hidden="1">
      <c r="A656" s="133" t="str">
        <f>IFERROR(__xludf.DUMMYFUNCTION("""COMPUTED_VALUE"""),"April'26")</f>
        <v>April'26</v>
      </c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3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5"/>
    </row>
    <row r="657" hidden="1">
      <c r="A657" s="133" t="str">
        <f>IFERROR(__xludf.DUMMYFUNCTION("""COMPUTED_VALUE"""),"April'26")</f>
        <v>April'26</v>
      </c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3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5"/>
    </row>
    <row r="658" hidden="1">
      <c r="A658" s="133" t="str">
        <f>IFERROR(__xludf.DUMMYFUNCTION("""COMPUTED_VALUE"""),"April'26")</f>
        <v>April'26</v>
      </c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3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5"/>
    </row>
    <row r="659" hidden="1">
      <c r="A659" s="133" t="str">
        <f>IFERROR(__xludf.DUMMYFUNCTION("""COMPUTED_VALUE"""),"April'26")</f>
        <v>April'26</v>
      </c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3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5"/>
    </row>
    <row r="660" hidden="1">
      <c r="A660" s="133" t="str">
        <f>IFERROR(__xludf.DUMMYFUNCTION("""COMPUTED_VALUE"""),"April'26")</f>
        <v>April'26</v>
      </c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3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5"/>
    </row>
    <row r="661" hidden="1">
      <c r="A661" s="133" t="str">
        <f>IFERROR(__xludf.DUMMYFUNCTION("""COMPUTED_VALUE"""),"April'26")</f>
        <v>April'26</v>
      </c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3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5"/>
    </row>
    <row r="662" hidden="1">
      <c r="A662" s="133" t="str">
        <f>IFERROR(__xludf.DUMMYFUNCTION("""COMPUTED_VALUE"""),"April'26")</f>
        <v>April'26</v>
      </c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3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5"/>
    </row>
    <row r="663" hidden="1">
      <c r="A663" s="133" t="str">
        <f>IFERROR(__xludf.DUMMYFUNCTION("""COMPUTED_VALUE"""),"April'26")</f>
        <v>April'26</v>
      </c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3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5"/>
    </row>
    <row r="664" hidden="1">
      <c r="A664" s="133" t="str">
        <f>IFERROR(__xludf.DUMMYFUNCTION("""COMPUTED_VALUE"""),"April'26")</f>
        <v>April'26</v>
      </c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3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5"/>
    </row>
    <row r="665" hidden="1">
      <c r="A665" s="133" t="str">
        <f>IFERROR(__xludf.DUMMYFUNCTION("""COMPUTED_VALUE"""),"April'26")</f>
        <v>April'26</v>
      </c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3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5"/>
    </row>
    <row r="666" hidden="1">
      <c r="A666" s="133" t="str">
        <f>IFERROR(__xludf.DUMMYFUNCTION("""COMPUTED_VALUE"""),"April'26")</f>
        <v>April'26</v>
      </c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3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5"/>
    </row>
    <row r="667" hidden="1">
      <c r="A667" s="133" t="str">
        <f>IFERROR(__xludf.DUMMYFUNCTION("""COMPUTED_VALUE"""),"April'26")</f>
        <v>April'26</v>
      </c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3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5"/>
    </row>
    <row r="668" hidden="1">
      <c r="A668" s="133" t="str">
        <f>IFERROR(__xludf.DUMMYFUNCTION("""COMPUTED_VALUE"""),"April'26")</f>
        <v>April'26</v>
      </c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3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5"/>
    </row>
    <row r="669" hidden="1">
      <c r="A669" s="133" t="str">
        <f>IFERROR(__xludf.DUMMYFUNCTION("""COMPUTED_VALUE"""),"April'26")</f>
        <v>April'26</v>
      </c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3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5"/>
    </row>
    <row r="670" hidden="1">
      <c r="A670" s="133" t="str">
        <f>IFERROR(__xludf.DUMMYFUNCTION("""COMPUTED_VALUE"""),"April'26")</f>
        <v>April'26</v>
      </c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3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5"/>
    </row>
    <row r="671" hidden="1">
      <c r="A671" s="133" t="str">
        <f>IFERROR(__xludf.DUMMYFUNCTION("""COMPUTED_VALUE"""),"April'26")</f>
        <v>April'26</v>
      </c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3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5"/>
    </row>
    <row r="672" hidden="1">
      <c r="A672" s="133" t="str">
        <f>IFERROR(__xludf.DUMMYFUNCTION("""COMPUTED_VALUE"""),"April'26")</f>
        <v>April'26</v>
      </c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33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5"/>
    </row>
    <row r="673" hidden="1">
      <c r="A673" s="133" t="str">
        <f>IFERROR(__xludf.DUMMYFUNCTION("""COMPUTED_VALUE"""),"April'26")</f>
        <v>April'26</v>
      </c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3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5"/>
    </row>
    <row r="674" hidden="1">
      <c r="A674" s="133" t="str">
        <f>IFERROR(__xludf.DUMMYFUNCTION("""COMPUTED_VALUE"""),"April'26")</f>
        <v>April'26</v>
      </c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3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5"/>
    </row>
    <row r="675" hidden="1">
      <c r="A675" s="133" t="str">
        <f>IFERROR(__xludf.DUMMYFUNCTION("""COMPUTED_VALUE"""),"April'26")</f>
        <v>April'26</v>
      </c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3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5"/>
    </row>
    <row r="676" hidden="1">
      <c r="A676" s="133" t="str">
        <f>IFERROR(__xludf.DUMMYFUNCTION("""COMPUTED_VALUE"""),"April'26")</f>
        <v>April'26</v>
      </c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3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5"/>
    </row>
    <row r="677" hidden="1">
      <c r="A677" s="133" t="str">
        <f>IFERROR(__xludf.DUMMYFUNCTION("""COMPUTED_VALUE"""),"April'26")</f>
        <v>April'26</v>
      </c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3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5"/>
    </row>
    <row r="678" hidden="1">
      <c r="A678" s="133" t="str">
        <f>IFERROR(__xludf.DUMMYFUNCTION("""COMPUTED_VALUE"""),"April'26")</f>
        <v>April'26</v>
      </c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3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5"/>
    </row>
    <row r="679" hidden="1">
      <c r="A679" s="133" t="str">
        <f>IFERROR(__xludf.DUMMYFUNCTION("""COMPUTED_VALUE"""),"April'26")</f>
        <v>April'26</v>
      </c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3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5"/>
    </row>
    <row r="680" hidden="1">
      <c r="A680" s="133" t="str">
        <f>IFERROR(__xludf.DUMMYFUNCTION("""COMPUTED_VALUE"""),"April'26")</f>
        <v>April'26</v>
      </c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3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5"/>
    </row>
    <row r="681" hidden="1">
      <c r="A681" s="133" t="str">
        <f>IFERROR(__xludf.DUMMYFUNCTION("""COMPUTED_VALUE"""),"April'26")</f>
        <v>April'26</v>
      </c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3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5"/>
    </row>
    <row r="682" hidden="1">
      <c r="A682" s="133" t="str">
        <f>IFERROR(__xludf.DUMMYFUNCTION("""COMPUTED_VALUE"""),"April'26")</f>
        <v>April'26</v>
      </c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3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5"/>
    </row>
    <row r="683" hidden="1">
      <c r="A683" s="133" t="str">
        <f>IFERROR(__xludf.DUMMYFUNCTION("""COMPUTED_VALUE"""),"April'26")</f>
        <v>April'26</v>
      </c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3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5"/>
    </row>
    <row r="684" hidden="1">
      <c r="A684" s="133" t="str">
        <f>IFERROR(__xludf.DUMMYFUNCTION("""COMPUTED_VALUE"""),"April'26")</f>
        <v>April'26</v>
      </c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3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5"/>
    </row>
    <row r="685" hidden="1">
      <c r="A685" s="133" t="str">
        <f>IFERROR(__xludf.DUMMYFUNCTION("""COMPUTED_VALUE"""),"April'26")</f>
        <v>April'26</v>
      </c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3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5"/>
    </row>
    <row r="686" hidden="1">
      <c r="A686" s="133" t="str">
        <f>IFERROR(__xludf.DUMMYFUNCTION("""COMPUTED_VALUE"""),"April'26")</f>
        <v>April'26</v>
      </c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3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5"/>
    </row>
    <row r="687" hidden="1">
      <c r="A687" s="133" t="str">
        <f>IFERROR(__xludf.DUMMYFUNCTION("""COMPUTED_VALUE"""),"April'26")</f>
        <v>April'26</v>
      </c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3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5"/>
    </row>
    <row r="688" hidden="1">
      <c r="A688" s="133" t="str">
        <f>IFERROR(__xludf.DUMMYFUNCTION("""COMPUTED_VALUE"""),"April'26")</f>
        <v>April'26</v>
      </c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3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5"/>
    </row>
    <row r="689" hidden="1">
      <c r="A689" s="133" t="str">
        <f>IFERROR(__xludf.DUMMYFUNCTION("""COMPUTED_VALUE"""),"April'26")</f>
        <v>April'26</v>
      </c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3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5"/>
    </row>
    <row r="690" hidden="1">
      <c r="A690" s="133" t="str">
        <f>IFERROR(__xludf.DUMMYFUNCTION("""COMPUTED_VALUE"""),"April'26")</f>
        <v>April'26</v>
      </c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3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5"/>
    </row>
    <row r="691" hidden="1">
      <c r="A691" s="133" t="str">
        <f>IFERROR(__xludf.DUMMYFUNCTION("""COMPUTED_VALUE"""),"April'26")</f>
        <v>April'26</v>
      </c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3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5"/>
    </row>
    <row r="692" hidden="1">
      <c r="A692" s="133" t="str">
        <f>IFERROR(__xludf.DUMMYFUNCTION("""COMPUTED_VALUE"""),"April'26")</f>
        <v>April'26</v>
      </c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3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5"/>
    </row>
    <row r="693" hidden="1">
      <c r="A693" s="133" t="str">
        <f>IFERROR(__xludf.DUMMYFUNCTION("""COMPUTED_VALUE"""),"April'26")</f>
        <v>April'26</v>
      </c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3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5"/>
    </row>
    <row r="694" hidden="1">
      <c r="A694" s="133" t="str">
        <f>IFERROR(__xludf.DUMMYFUNCTION("""COMPUTED_VALUE"""),"April'26")</f>
        <v>April'26</v>
      </c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3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5"/>
    </row>
    <row r="695" hidden="1">
      <c r="A695" s="133" t="str">
        <f>IFERROR(__xludf.DUMMYFUNCTION("""COMPUTED_VALUE"""),"April'26")</f>
        <v>April'26</v>
      </c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3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5"/>
    </row>
    <row r="696" hidden="1">
      <c r="A696" s="133" t="str">
        <f>IFERROR(__xludf.DUMMYFUNCTION("""COMPUTED_VALUE"""),"April'26")</f>
        <v>April'26</v>
      </c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3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5"/>
    </row>
    <row r="697" hidden="1">
      <c r="A697" s="133" t="str">
        <f>IFERROR(__xludf.DUMMYFUNCTION("""COMPUTED_VALUE"""),"April'26")</f>
        <v>April'26</v>
      </c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3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5"/>
    </row>
    <row r="698" hidden="1">
      <c r="A698" s="133" t="str">
        <f>IFERROR(__xludf.DUMMYFUNCTION("""COMPUTED_VALUE"""),"April'26")</f>
        <v>April'26</v>
      </c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3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5"/>
    </row>
    <row r="699" hidden="1">
      <c r="A699" s="133" t="str">
        <f>IFERROR(__xludf.DUMMYFUNCTION("""COMPUTED_VALUE"""),"April'26")</f>
        <v>April'26</v>
      </c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3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5"/>
    </row>
    <row r="700" hidden="1">
      <c r="A700" s="133" t="str">
        <f>IFERROR(__xludf.DUMMYFUNCTION("""COMPUTED_VALUE"""),"April'26")</f>
        <v>April'26</v>
      </c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3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5"/>
    </row>
    <row r="701" hidden="1">
      <c r="A701" s="133" t="str">
        <f>IFERROR(__xludf.DUMMYFUNCTION("""COMPUTED_VALUE"""),"April'26")</f>
        <v>April'26</v>
      </c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3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5"/>
    </row>
    <row r="702" hidden="1">
      <c r="A702" s="133" t="str">
        <f>IFERROR(__xludf.DUMMYFUNCTION("""COMPUTED_VALUE"""),"April'26")</f>
        <v>April'26</v>
      </c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3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5"/>
    </row>
    <row r="703" hidden="1">
      <c r="A703" s="133" t="str">
        <f>IFERROR(__xludf.DUMMYFUNCTION("""COMPUTED_VALUE"""),"April'26")</f>
        <v>April'26</v>
      </c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3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5"/>
    </row>
    <row r="704" hidden="1">
      <c r="A704" s="133" t="str">
        <f>IFERROR(__xludf.DUMMYFUNCTION("""COMPUTED_VALUE"""),"April'26")</f>
        <v>April'26</v>
      </c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3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5"/>
    </row>
    <row r="705" hidden="1">
      <c r="A705" s="133" t="str">
        <f>IFERROR(__xludf.DUMMYFUNCTION("""COMPUTED_VALUE"""),"April'26")</f>
        <v>April'26</v>
      </c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3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5"/>
    </row>
    <row r="706" hidden="1">
      <c r="A706" s="133" t="str">
        <f>IFERROR(__xludf.DUMMYFUNCTION("""COMPUTED_VALUE"""),"April'26")</f>
        <v>April'26</v>
      </c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3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5"/>
    </row>
    <row r="707" hidden="1">
      <c r="A707" s="133" t="str">
        <f>IFERROR(__xludf.DUMMYFUNCTION("""COMPUTED_VALUE"""),"April'26")</f>
        <v>April'26</v>
      </c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3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5"/>
    </row>
    <row r="708" hidden="1">
      <c r="A708" s="133" t="str">
        <f>IFERROR(__xludf.DUMMYFUNCTION("""COMPUTED_VALUE"""),"April'26")</f>
        <v>April'26</v>
      </c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3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5"/>
    </row>
    <row r="709" hidden="1">
      <c r="A709" s="133" t="str">
        <f>IFERROR(__xludf.DUMMYFUNCTION("""COMPUTED_VALUE"""),"April'26")</f>
        <v>April'26</v>
      </c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3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5"/>
    </row>
    <row r="710" hidden="1">
      <c r="A710" s="133" t="str">
        <f>IFERROR(__xludf.DUMMYFUNCTION("""COMPUTED_VALUE"""),"April'26")</f>
        <v>April'26</v>
      </c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3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5"/>
    </row>
    <row r="711" hidden="1">
      <c r="A711" s="133" t="str">
        <f>IFERROR(__xludf.DUMMYFUNCTION("""COMPUTED_VALUE"""),"April'26")</f>
        <v>April'26</v>
      </c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33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5"/>
    </row>
    <row r="712" hidden="1">
      <c r="A712" s="133" t="str">
        <f>IFERROR(__xludf.DUMMYFUNCTION("""COMPUTED_VALUE"""),"April'26")</f>
        <v>April'26</v>
      </c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33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5"/>
    </row>
    <row r="713" hidden="1">
      <c r="A713" s="133" t="str">
        <f>IFERROR(__xludf.DUMMYFUNCTION("""COMPUTED_VALUE"""),"April'26")</f>
        <v>April'26</v>
      </c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33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5"/>
    </row>
    <row r="714" hidden="1">
      <c r="A714" s="133" t="str">
        <f>IFERROR(__xludf.DUMMYFUNCTION("""COMPUTED_VALUE"""),"April'26")</f>
        <v>April'26</v>
      </c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33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5"/>
    </row>
    <row r="715" hidden="1">
      <c r="A715" s="133" t="str">
        <f>IFERROR(__xludf.DUMMYFUNCTION("""COMPUTED_VALUE"""),"April'26")</f>
        <v>April'26</v>
      </c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33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5"/>
    </row>
    <row r="716" hidden="1">
      <c r="A716" s="133" t="str">
        <f>IFERROR(__xludf.DUMMYFUNCTION("""COMPUTED_VALUE"""),"April'26")</f>
        <v>April'26</v>
      </c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33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5"/>
    </row>
    <row r="717" hidden="1">
      <c r="A717" s="133" t="str">
        <f>IFERROR(__xludf.DUMMYFUNCTION("""COMPUTED_VALUE"""),"April'26")</f>
        <v>April'26</v>
      </c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33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5"/>
    </row>
    <row r="718" hidden="1">
      <c r="A718" s="133" t="str">
        <f>IFERROR(__xludf.DUMMYFUNCTION("""COMPUTED_VALUE"""),"April'26")</f>
        <v>April'26</v>
      </c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33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5"/>
    </row>
    <row r="719" hidden="1">
      <c r="A719" s="133" t="str">
        <f>IFERROR(__xludf.DUMMYFUNCTION("""COMPUTED_VALUE"""),"April'26")</f>
        <v>April'26</v>
      </c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33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5"/>
    </row>
    <row r="720" hidden="1">
      <c r="A720" s="133" t="str">
        <f>IFERROR(__xludf.DUMMYFUNCTION("""COMPUTED_VALUE"""),"April'26")</f>
        <v>April'26</v>
      </c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33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5"/>
    </row>
    <row r="721" hidden="1">
      <c r="A721" s="133" t="str">
        <f>IFERROR(__xludf.DUMMYFUNCTION("""COMPUTED_VALUE"""),"April'26")</f>
        <v>April'26</v>
      </c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33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5"/>
    </row>
    <row r="722" hidden="1">
      <c r="A722" s="133" t="str">
        <f>IFERROR(__xludf.DUMMYFUNCTION("""COMPUTED_VALUE"""),"April'26")</f>
        <v>April'26</v>
      </c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33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5"/>
    </row>
    <row r="723" hidden="1">
      <c r="A723" s="133" t="str">
        <f>IFERROR(__xludf.DUMMYFUNCTION("""COMPUTED_VALUE"""),"April'26")</f>
        <v>April'26</v>
      </c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33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5"/>
    </row>
    <row r="724" hidden="1">
      <c r="A724" s="133" t="str">
        <f>IFERROR(__xludf.DUMMYFUNCTION("""COMPUTED_VALUE"""),"April'26")</f>
        <v>April'26</v>
      </c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33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5"/>
    </row>
    <row r="725" hidden="1">
      <c r="A725" s="133" t="str">
        <f>IFERROR(__xludf.DUMMYFUNCTION("""COMPUTED_VALUE"""),"April'26")</f>
        <v>April'26</v>
      </c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33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5"/>
    </row>
    <row r="726" hidden="1">
      <c r="A726" s="133" t="str">
        <f>IFERROR(__xludf.DUMMYFUNCTION("""COMPUTED_VALUE"""),"April'26")</f>
        <v>April'26</v>
      </c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33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5"/>
    </row>
    <row r="727" hidden="1">
      <c r="A727" s="133" t="str">
        <f>IFERROR(__xludf.DUMMYFUNCTION("""COMPUTED_VALUE"""),"April'26")</f>
        <v>April'26</v>
      </c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33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5"/>
    </row>
    <row r="728" hidden="1">
      <c r="A728" s="133" t="str">
        <f>IFERROR(__xludf.DUMMYFUNCTION("""COMPUTED_VALUE"""),"April'26")</f>
        <v>April'26</v>
      </c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33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5"/>
    </row>
    <row r="729" hidden="1">
      <c r="A729" s="133" t="str">
        <f>IFERROR(__xludf.DUMMYFUNCTION("""COMPUTED_VALUE"""),"April'26")</f>
        <v>April'26</v>
      </c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33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5"/>
    </row>
    <row r="730" hidden="1">
      <c r="A730" s="133" t="str">
        <f>IFERROR(__xludf.DUMMYFUNCTION("""COMPUTED_VALUE"""),"April'26")</f>
        <v>April'26</v>
      </c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33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5"/>
    </row>
    <row r="731" hidden="1">
      <c r="A731" s="133" t="str">
        <f>IFERROR(__xludf.DUMMYFUNCTION("""COMPUTED_VALUE"""),"April'26")</f>
        <v>April'26</v>
      </c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33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5"/>
    </row>
    <row r="732" hidden="1">
      <c r="A732" s="133" t="str">
        <f>IFERROR(__xludf.DUMMYFUNCTION("""COMPUTED_VALUE"""),"April'26")</f>
        <v>April'26</v>
      </c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33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5"/>
    </row>
    <row r="733" hidden="1">
      <c r="A733" s="133" t="str">
        <f>IFERROR(__xludf.DUMMYFUNCTION("""COMPUTED_VALUE"""),"April'26")</f>
        <v>April'26</v>
      </c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33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5"/>
    </row>
    <row r="734" hidden="1">
      <c r="A734" s="133" t="str">
        <f>IFERROR(__xludf.DUMMYFUNCTION("""COMPUTED_VALUE"""),"April'26")</f>
        <v>April'26</v>
      </c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33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5"/>
    </row>
    <row r="735" hidden="1">
      <c r="A735" s="133" t="str">
        <f>IFERROR(__xludf.DUMMYFUNCTION("""COMPUTED_VALUE"""),"April'26")</f>
        <v>April'26</v>
      </c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33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5"/>
    </row>
    <row r="736" hidden="1">
      <c r="A736" s="133" t="str">
        <f>IFERROR(__xludf.DUMMYFUNCTION("""COMPUTED_VALUE"""),"April'26")</f>
        <v>April'26</v>
      </c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33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5"/>
    </row>
    <row r="737" hidden="1">
      <c r="A737" s="133" t="str">
        <f>IFERROR(__xludf.DUMMYFUNCTION("""COMPUTED_VALUE"""),"April'26")</f>
        <v>April'26</v>
      </c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33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5"/>
    </row>
    <row r="738" hidden="1">
      <c r="A738" s="133" t="str">
        <f>IFERROR(__xludf.DUMMYFUNCTION("""COMPUTED_VALUE"""),"April'26")</f>
        <v>April'26</v>
      </c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33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5"/>
    </row>
    <row r="739" hidden="1">
      <c r="A739" s="133" t="str">
        <f>IFERROR(__xludf.DUMMYFUNCTION("""COMPUTED_VALUE"""),"April'26")</f>
        <v>April'26</v>
      </c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33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5"/>
    </row>
    <row r="740" hidden="1">
      <c r="A740" s="133" t="str">
        <f>IFERROR(__xludf.DUMMYFUNCTION("""COMPUTED_VALUE"""),"April'26")</f>
        <v>April'26</v>
      </c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33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5"/>
    </row>
    <row r="741" hidden="1">
      <c r="A741" s="133" t="str">
        <f>IFERROR(__xludf.DUMMYFUNCTION("""COMPUTED_VALUE"""),"April'26")</f>
        <v>April'26</v>
      </c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33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5"/>
    </row>
    <row r="742" hidden="1">
      <c r="A742" s="133" t="str">
        <f>IFERROR(__xludf.DUMMYFUNCTION("""COMPUTED_VALUE"""),"April'26")</f>
        <v>April'26</v>
      </c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33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5"/>
    </row>
    <row r="743" hidden="1">
      <c r="A743" s="133" t="str">
        <f>IFERROR(__xludf.DUMMYFUNCTION("""COMPUTED_VALUE"""),"April'26")</f>
        <v>April'26</v>
      </c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33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5"/>
    </row>
    <row r="744" hidden="1">
      <c r="A744" s="133" t="str">
        <f>IFERROR(__xludf.DUMMYFUNCTION("""COMPUTED_VALUE"""),"April'26")</f>
        <v>April'26</v>
      </c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33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5"/>
    </row>
    <row r="745" hidden="1">
      <c r="A745" s="133" t="str">
        <f>IFERROR(__xludf.DUMMYFUNCTION("""COMPUTED_VALUE"""),"April'26")</f>
        <v>April'26</v>
      </c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33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5"/>
    </row>
    <row r="746" hidden="1">
      <c r="A746" s="133" t="str">
        <f>IFERROR(__xludf.DUMMYFUNCTION("""COMPUTED_VALUE"""),"April'26")</f>
        <v>April'26</v>
      </c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33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5"/>
    </row>
    <row r="747" hidden="1">
      <c r="A747" s="133" t="str">
        <f>IFERROR(__xludf.DUMMYFUNCTION("""COMPUTED_VALUE"""),"April'26")</f>
        <v>April'26</v>
      </c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33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5"/>
    </row>
    <row r="748" hidden="1">
      <c r="A748" s="133" t="str">
        <f>IFERROR(__xludf.DUMMYFUNCTION("""COMPUTED_VALUE"""),"April'26")</f>
        <v>April'26</v>
      </c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33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5"/>
    </row>
    <row r="749" hidden="1">
      <c r="A749" s="133" t="str">
        <f>IFERROR(__xludf.DUMMYFUNCTION("""COMPUTED_VALUE"""),"April'26")</f>
        <v>April'26</v>
      </c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33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5"/>
    </row>
    <row r="750" hidden="1">
      <c r="A750" s="133" t="str">
        <f>IFERROR(__xludf.DUMMYFUNCTION("""COMPUTED_VALUE"""),"April'26")</f>
        <v>April'26</v>
      </c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33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5"/>
    </row>
    <row r="751" hidden="1">
      <c r="A751" s="133" t="str">
        <f>IFERROR(__xludf.DUMMYFUNCTION("""COMPUTED_VALUE"""),"April'26")</f>
        <v>April'26</v>
      </c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33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5"/>
    </row>
    <row r="752" hidden="1">
      <c r="A752" s="133" t="str">
        <f>IFERROR(__xludf.DUMMYFUNCTION("""COMPUTED_VALUE"""),"April'26")</f>
        <v>April'26</v>
      </c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33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5"/>
    </row>
    <row r="753" hidden="1">
      <c r="A753" s="133" t="str">
        <f>IFERROR(__xludf.DUMMYFUNCTION("""COMPUTED_VALUE"""),"April'26")</f>
        <v>April'26</v>
      </c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33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5"/>
    </row>
    <row r="754" hidden="1">
      <c r="A754" s="133" t="str">
        <f>IFERROR(__xludf.DUMMYFUNCTION("""COMPUTED_VALUE"""),"April'26")</f>
        <v>April'26</v>
      </c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33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5"/>
    </row>
    <row r="755" hidden="1">
      <c r="A755" s="133" t="str">
        <f>IFERROR(__xludf.DUMMYFUNCTION("""COMPUTED_VALUE"""),"April'26")</f>
        <v>April'26</v>
      </c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33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5"/>
    </row>
    <row r="756" hidden="1">
      <c r="A756" s="133" t="str">
        <f>IFERROR(__xludf.DUMMYFUNCTION("""COMPUTED_VALUE"""),"April'26")</f>
        <v>April'26</v>
      </c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33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5"/>
    </row>
    <row r="757" hidden="1">
      <c r="A757" s="133" t="str">
        <f>IFERROR(__xludf.DUMMYFUNCTION("""COMPUTED_VALUE"""),"April'26")</f>
        <v>April'26</v>
      </c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33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5"/>
    </row>
    <row r="758" hidden="1">
      <c r="A758" s="133" t="str">
        <f>IFERROR(__xludf.DUMMYFUNCTION("""COMPUTED_VALUE"""),"April'26")</f>
        <v>April'26</v>
      </c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33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5"/>
    </row>
    <row r="759" hidden="1">
      <c r="A759" s="133" t="str">
        <f>IFERROR(__xludf.DUMMYFUNCTION("""COMPUTED_VALUE"""),"April'26")</f>
        <v>April'26</v>
      </c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33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5"/>
    </row>
    <row r="760" hidden="1">
      <c r="A760" s="133" t="str">
        <f>IFERROR(__xludf.DUMMYFUNCTION("""COMPUTED_VALUE"""),"April'26")</f>
        <v>April'26</v>
      </c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33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5"/>
    </row>
    <row r="761" hidden="1">
      <c r="A761" s="133" t="str">
        <f>IFERROR(__xludf.DUMMYFUNCTION("""COMPUTED_VALUE"""),"April'26")</f>
        <v>April'26</v>
      </c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33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5"/>
    </row>
    <row r="762" hidden="1">
      <c r="A762" s="133" t="str">
        <f>IFERROR(__xludf.DUMMYFUNCTION("""COMPUTED_VALUE"""),"April'26")</f>
        <v>April'26</v>
      </c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33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5"/>
    </row>
    <row r="763" hidden="1">
      <c r="A763" s="133" t="str">
        <f>IFERROR(__xludf.DUMMYFUNCTION("""COMPUTED_VALUE"""),"April'26")</f>
        <v>April'26</v>
      </c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33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5"/>
    </row>
    <row r="764" hidden="1">
      <c r="A764" s="133" t="str">
        <f>IFERROR(__xludf.DUMMYFUNCTION("""COMPUTED_VALUE"""),"April'26")</f>
        <v>April'26</v>
      </c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33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5"/>
    </row>
    <row r="765" hidden="1">
      <c r="A765" s="133" t="str">
        <f>IFERROR(__xludf.DUMMYFUNCTION("""COMPUTED_VALUE"""),"April'26")</f>
        <v>April'26</v>
      </c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33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5"/>
    </row>
    <row r="766" hidden="1">
      <c r="A766" s="133" t="str">
        <f>IFERROR(__xludf.DUMMYFUNCTION("""COMPUTED_VALUE"""),"April'26")</f>
        <v>April'26</v>
      </c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33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5"/>
    </row>
    <row r="767" hidden="1">
      <c r="A767" s="133" t="str">
        <f>IFERROR(__xludf.DUMMYFUNCTION("""COMPUTED_VALUE"""),"April'26")</f>
        <v>April'26</v>
      </c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33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5"/>
    </row>
    <row r="768" hidden="1">
      <c r="A768" s="133" t="str">
        <f>IFERROR(__xludf.DUMMYFUNCTION("""COMPUTED_VALUE"""),"April'26")</f>
        <v>April'26</v>
      </c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33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5"/>
    </row>
    <row r="769" hidden="1">
      <c r="A769" s="133" t="str">
        <f>IFERROR(__xludf.DUMMYFUNCTION("""COMPUTED_VALUE"""),"April'26")</f>
        <v>April'26</v>
      </c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33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5"/>
    </row>
    <row r="770" hidden="1">
      <c r="A770" s="133" t="str">
        <f>IFERROR(__xludf.DUMMYFUNCTION("""COMPUTED_VALUE"""),"April'26")</f>
        <v>April'26</v>
      </c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33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5"/>
    </row>
    <row r="771" hidden="1">
      <c r="A771" s="133" t="str">
        <f>IFERROR(__xludf.DUMMYFUNCTION("""COMPUTED_VALUE"""),"April'26")</f>
        <v>April'26</v>
      </c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33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5"/>
    </row>
    <row r="772" hidden="1">
      <c r="A772" s="133" t="str">
        <f>IFERROR(__xludf.DUMMYFUNCTION("""COMPUTED_VALUE"""),"April'26")</f>
        <v>April'26</v>
      </c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3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5"/>
    </row>
    <row r="773" hidden="1">
      <c r="A773" s="133" t="str">
        <f>IFERROR(__xludf.DUMMYFUNCTION("""COMPUTED_VALUE"""),"April'26")</f>
        <v>April'26</v>
      </c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33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5"/>
    </row>
    <row r="774" hidden="1">
      <c r="A774" s="133" t="str">
        <f>IFERROR(__xludf.DUMMYFUNCTION("""COMPUTED_VALUE"""),"April'26")</f>
        <v>April'26</v>
      </c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33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5"/>
    </row>
    <row r="775" hidden="1">
      <c r="A775" s="133" t="str">
        <f>IFERROR(__xludf.DUMMYFUNCTION("""COMPUTED_VALUE"""),"April'26")</f>
        <v>April'26</v>
      </c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33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5"/>
    </row>
    <row r="776" hidden="1">
      <c r="A776" s="133" t="str">
        <f>IFERROR(__xludf.DUMMYFUNCTION("""COMPUTED_VALUE"""),"April'26")</f>
        <v>April'26</v>
      </c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33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5"/>
    </row>
    <row r="777" hidden="1">
      <c r="A777" s="133" t="str">
        <f>IFERROR(__xludf.DUMMYFUNCTION("""COMPUTED_VALUE"""),"April'26")</f>
        <v>April'26</v>
      </c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33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5"/>
    </row>
    <row r="778" hidden="1">
      <c r="A778" s="133" t="str">
        <f>IFERROR(__xludf.DUMMYFUNCTION("""COMPUTED_VALUE"""),"April'26")</f>
        <v>April'26</v>
      </c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33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5"/>
    </row>
    <row r="779" hidden="1">
      <c r="A779" s="133" t="str">
        <f>IFERROR(__xludf.DUMMYFUNCTION("""COMPUTED_VALUE"""),"April'26")</f>
        <v>April'26</v>
      </c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33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5"/>
    </row>
    <row r="780" hidden="1">
      <c r="A780" s="133" t="str">
        <f>IFERROR(__xludf.DUMMYFUNCTION("""COMPUTED_VALUE"""),"April'26")</f>
        <v>April'26</v>
      </c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33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5"/>
    </row>
    <row r="781" hidden="1">
      <c r="A781" s="133" t="str">
        <f>IFERROR(__xludf.DUMMYFUNCTION("""COMPUTED_VALUE"""),"April'26")</f>
        <v>April'26</v>
      </c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33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5"/>
    </row>
    <row r="782" hidden="1">
      <c r="A782" s="133" t="str">
        <f>IFERROR(__xludf.DUMMYFUNCTION("""COMPUTED_VALUE"""),"April'26")</f>
        <v>April'26</v>
      </c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33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5"/>
    </row>
    <row r="783" hidden="1">
      <c r="A783" s="133" t="str">
        <f>IFERROR(__xludf.DUMMYFUNCTION("""COMPUTED_VALUE"""),"April'26")</f>
        <v>April'26</v>
      </c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33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5"/>
    </row>
    <row r="784" hidden="1">
      <c r="A784" s="133" t="str">
        <f>IFERROR(__xludf.DUMMYFUNCTION("""COMPUTED_VALUE"""),"April'26")</f>
        <v>April'26</v>
      </c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33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5"/>
    </row>
    <row r="785" hidden="1">
      <c r="A785" s="133" t="str">
        <f>IFERROR(__xludf.DUMMYFUNCTION("""COMPUTED_VALUE"""),"April'26")</f>
        <v>April'26</v>
      </c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33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5"/>
    </row>
    <row r="786" hidden="1">
      <c r="A786" s="133" t="str">
        <f>IFERROR(__xludf.DUMMYFUNCTION("""COMPUTED_VALUE"""),"April'26")</f>
        <v>April'26</v>
      </c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33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5"/>
    </row>
    <row r="787" hidden="1">
      <c r="A787" s="133" t="str">
        <f>IFERROR(__xludf.DUMMYFUNCTION("""COMPUTED_VALUE"""),"April'26")</f>
        <v>April'26</v>
      </c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33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5"/>
    </row>
    <row r="788" hidden="1">
      <c r="A788" s="133" t="str">
        <f>IFERROR(__xludf.DUMMYFUNCTION("""COMPUTED_VALUE"""),"April'26")</f>
        <v>April'26</v>
      </c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33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5"/>
    </row>
    <row r="789" hidden="1">
      <c r="A789" s="133" t="str">
        <f>IFERROR(__xludf.DUMMYFUNCTION("""COMPUTED_VALUE"""),"April'26")</f>
        <v>April'26</v>
      </c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33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5"/>
    </row>
    <row r="790" hidden="1">
      <c r="A790" s="133" t="str">
        <f>IFERROR(__xludf.DUMMYFUNCTION("""COMPUTED_VALUE"""),"April'26")</f>
        <v>April'26</v>
      </c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33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5"/>
    </row>
    <row r="791" hidden="1">
      <c r="A791" s="133" t="str">
        <f>IFERROR(__xludf.DUMMYFUNCTION("""COMPUTED_VALUE"""),"April'26")</f>
        <v>April'26</v>
      </c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33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5"/>
    </row>
    <row r="792" hidden="1">
      <c r="A792" s="133" t="str">
        <f>IFERROR(__xludf.DUMMYFUNCTION("""COMPUTED_VALUE"""),"April'26")</f>
        <v>April'26</v>
      </c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33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5"/>
    </row>
    <row r="793" hidden="1">
      <c r="A793" s="133" t="str">
        <f>IFERROR(__xludf.DUMMYFUNCTION("""COMPUTED_VALUE"""),"April'26")</f>
        <v>April'26</v>
      </c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33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5"/>
    </row>
    <row r="794" hidden="1">
      <c r="A794" s="133" t="str">
        <f>IFERROR(__xludf.DUMMYFUNCTION("""COMPUTED_VALUE"""),"April'26")</f>
        <v>April'26</v>
      </c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33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5"/>
    </row>
    <row r="795" hidden="1">
      <c r="A795" s="133" t="str">
        <f>IFERROR(__xludf.DUMMYFUNCTION("""COMPUTED_VALUE"""),"April'26")</f>
        <v>April'26</v>
      </c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33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5"/>
    </row>
    <row r="796" hidden="1">
      <c r="A796" s="133" t="str">
        <f>IFERROR(__xludf.DUMMYFUNCTION("""COMPUTED_VALUE"""),"April'26")</f>
        <v>April'26</v>
      </c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33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5"/>
    </row>
    <row r="797" hidden="1">
      <c r="A797" s="133" t="str">
        <f>IFERROR(__xludf.DUMMYFUNCTION("""COMPUTED_VALUE"""),"April'26")</f>
        <v>April'26</v>
      </c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33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5"/>
    </row>
    <row r="798" hidden="1">
      <c r="A798" s="133" t="str">
        <f>IFERROR(__xludf.DUMMYFUNCTION("""COMPUTED_VALUE"""),"April'26")</f>
        <v>April'26</v>
      </c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33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5"/>
    </row>
    <row r="799" hidden="1">
      <c r="A799" s="133" t="str">
        <f>IFERROR(__xludf.DUMMYFUNCTION("""COMPUTED_VALUE"""),"April'26")</f>
        <v>April'26</v>
      </c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33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5"/>
    </row>
    <row r="800" hidden="1">
      <c r="A800" s="133" t="str">
        <f>IFERROR(__xludf.DUMMYFUNCTION("""COMPUTED_VALUE"""),"April'26")</f>
        <v>April'26</v>
      </c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33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5"/>
    </row>
    <row r="801" hidden="1">
      <c r="A801" s="133" t="str">
        <f>IFERROR(__xludf.DUMMYFUNCTION("""COMPUTED_VALUE"""),"April'26")</f>
        <v>April'26</v>
      </c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33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5"/>
    </row>
    <row r="802" hidden="1">
      <c r="A802" s="133" t="str">
        <f>IFERROR(__xludf.DUMMYFUNCTION("""COMPUTED_VALUE"""),"April'26")</f>
        <v>April'26</v>
      </c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33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5"/>
    </row>
    <row r="803" hidden="1">
      <c r="A803" s="133" t="str">
        <f>IFERROR(__xludf.DUMMYFUNCTION("""COMPUTED_VALUE"""),"April'26")</f>
        <v>April'26</v>
      </c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33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5"/>
    </row>
    <row r="804" hidden="1">
      <c r="A804" s="133" t="str">
        <f>IFERROR(__xludf.DUMMYFUNCTION("""COMPUTED_VALUE"""),"April'26")</f>
        <v>April'26</v>
      </c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33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5"/>
    </row>
    <row r="805" hidden="1">
      <c r="A805" s="133" t="str">
        <f>IFERROR(__xludf.DUMMYFUNCTION("""COMPUTED_VALUE"""),"April'26")</f>
        <v>April'26</v>
      </c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33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5"/>
    </row>
    <row r="806" hidden="1">
      <c r="A806" s="133" t="str">
        <f>IFERROR(__xludf.DUMMYFUNCTION("""COMPUTED_VALUE"""),"April'26")</f>
        <v>April'26</v>
      </c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33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5"/>
    </row>
    <row r="807" hidden="1">
      <c r="A807" s="133" t="str">
        <f>IFERROR(__xludf.DUMMYFUNCTION("""COMPUTED_VALUE"""),"April'26")</f>
        <v>April'26</v>
      </c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33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5"/>
    </row>
    <row r="808" hidden="1">
      <c r="A808" s="133" t="str">
        <f>IFERROR(__xludf.DUMMYFUNCTION("""COMPUTED_VALUE"""),"April'26")</f>
        <v>April'26</v>
      </c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33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5"/>
    </row>
    <row r="809" hidden="1">
      <c r="A809" s="133" t="str">
        <f>IFERROR(__xludf.DUMMYFUNCTION("""COMPUTED_VALUE"""),"April'26")</f>
        <v>April'26</v>
      </c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33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5"/>
    </row>
    <row r="810" hidden="1">
      <c r="A810" s="133" t="str">
        <f>IFERROR(__xludf.DUMMYFUNCTION("""COMPUTED_VALUE"""),"April'26")</f>
        <v>April'26</v>
      </c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33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5"/>
    </row>
    <row r="811" hidden="1">
      <c r="A811" s="133" t="str">
        <f>IFERROR(__xludf.DUMMYFUNCTION("""COMPUTED_VALUE"""),"April'26")</f>
        <v>April'26</v>
      </c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33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5"/>
    </row>
    <row r="812" hidden="1">
      <c r="A812" s="133" t="str">
        <f>IFERROR(__xludf.DUMMYFUNCTION("""COMPUTED_VALUE"""),"April'26")</f>
        <v>April'26</v>
      </c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33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5"/>
    </row>
    <row r="813" hidden="1">
      <c r="A813" s="133" t="str">
        <f>IFERROR(__xludf.DUMMYFUNCTION("""COMPUTED_VALUE"""),"April'26")</f>
        <v>April'26</v>
      </c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33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5"/>
    </row>
    <row r="814" hidden="1">
      <c r="A814" s="133" t="str">
        <f>IFERROR(__xludf.DUMMYFUNCTION("""COMPUTED_VALUE"""),"April'26")</f>
        <v>April'26</v>
      </c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33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5"/>
    </row>
    <row r="815" hidden="1">
      <c r="A815" s="133" t="str">
        <f>IFERROR(__xludf.DUMMYFUNCTION("""COMPUTED_VALUE"""),"April'26")</f>
        <v>April'26</v>
      </c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33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5"/>
    </row>
    <row r="816" hidden="1">
      <c r="A816" s="133" t="str">
        <f>IFERROR(__xludf.DUMMYFUNCTION("""COMPUTED_VALUE"""),"April'26")</f>
        <v>April'26</v>
      </c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33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5"/>
    </row>
    <row r="817" hidden="1">
      <c r="A817" s="133" t="str">
        <f>IFERROR(__xludf.DUMMYFUNCTION("""COMPUTED_VALUE"""),"April'26")</f>
        <v>April'26</v>
      </c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33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5"/>
    </row>
    <row r="818" hidden="1">
      <c r="A818" s="133" t="str">
        <f>IFERROR(__xludf.DUMMYFUNCTION("""COMPUTED_VALUE"""),"April'26")</f>
        <v>April'26</v>
      </c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33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5"/>
    </row>
    <row r="819" hidden="1">
      <c r="A819" s="133" t="str">
        <f>IFERROR(__xludf.DUMMYFUNCTION("""COMPUTED_VALUE"""),"April'26")</f>
        <v>April'26</v>
      </c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33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5"/>
    </row>
    <row r="820" hidden="1">
      <c r="A820" s="133" t="str">
        <f>IFERROR(__xludf.DUMMYFUNCTION("""COMPUTED_VALUE"""),"April'26")</f>
        <v>April'26</v>
      </c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33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5"/>
    </row>
    <row r="821" hidden="1">
      <c r="A821" s="133" t="str">
        <f>IFERROR(__xludf.DUMMYFUNCTION("""COMPUTED_VALUE"""),"April'26")</f>
        <v>April'26</v>
      </c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33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5"/>
    </row>
    <row r="822" hidden="1">
      <c r="A822" s="133" t="str">
        <f>IFERROR(__xludf.DUMMYFUNCTION("""COMPUTED_VALUE"""),"April'26")</f>
        <v>April'26</v>
      </c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33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5"/>
    </row>
    <row r="823" hidden="1">
      <c r="A823" s="133" t="str">
        <f>IFERROR(__xludf.DUMMYFUNCTION("""COMPUTED_VALUE"""),"April'26")</f>
        <v>April'26</v>
      </c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33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5"/>
    </row>
    <row r="824" hidden="1">
      <c r="A824" s="133" t="str">
        <f>IFERROR(__xludf.DUMMYFUNCTION("""COMPUTED_VALUE"""),"April'26")</f>
        <v>April'26</v>
      </c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33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5"/>
    </row>
    <row r="825" hidden="1">
      <c r="A825" s="133" t="str">
        <f>IFERROR(__xludf.DUMMYFUNCTION("""COMPUTED_VALUE"""),"April'26")</f>
        <v>April'26</v>
      </c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33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5"/>
    </row>
    <row r="826" hidden="1">
      <c r="A826" s="133" t="str">
        <f>IFERROR(__xludf.DUMMYFUNCTION("""COMPUTED_VALUE"""),"April'26")</f>
        <v>April'26</v>
      </c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33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5"/>
    </row>
    <row r="827" hidden="1">
      <c r="A827" s="133" t="str">
        <f>IFERROR(__xludf.DUMMYFUNCTION("""COMPUTED_VALUE"""),"April'26")</f>
        <v>April'26</v>
      </c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33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5"/>
    </row>
    <row r="828" hidden="1">
      <c r="A828" s="133" t="str">
        <f>IFERROR(__xludf.DUMMYFUNCTION("""COMPUTED_VALUE"""),"April'26")</f>
        <v>April'26</v>
      </c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33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5"/>
    </row>
    <row r="829" hidden="1">
      <c r="A829" s="133" t="str">
        <f>IFERROR(__xludf.DUMMYFUNCTION("""COMPUTED_VALUE"""),"April'26")</f>
        <v>April'26</v>
      </c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33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5"/>
    </row>
    <row r="830" hidden="1">
      <c r="A830" s="133" t="str">
        <f>IFERROR(__xludf.DUMMYFUNCTION("""COMPUTED_VALUE"""),"April'26")</f>
        <v>April'26</v>
      </c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33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5"/>
    </row>
    <row r="831" hidden="1">
      <c r="A831" s="133" t="str">
        <f>IFERROR(__xludf.DUMMYFUNCTION("""COMPUTED_VALUE"""),"April'26")</f>
        <v>April'26</v>
      </c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33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5"/>
    </row>
    <row r="832" hidden="1">
      <c r="A832" s="133" t="str">
        <f>IFERROR(__xludf.DUMMYFUNCTION("""COMPUTED_VALUE"""),"April'26")</f>
        <v>April'26</v>
      </c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33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5"/>
    </row>
    <row r="833" hidden="1">
      <c r="A833" s="133" t="str">
        <f>IFERROR(__xludf.DUMMYFUNCTION("""COMPUTED_VALUE"""),"April'26")</f>
        <v>April'26</v>
      </c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33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5"/>
    </row>
    <row r="834" hidden="1">
      <c r="A834" s="133" t="str">
        <f>IFERROR(__xludf.DUMMYFUNCTION("""COMPUTED_VALUE"""),"April'26")</f>
        <v>April'26</v>
      </c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33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5"/>
    </row>
    <row r="835" hidden="1">
      <c r="A835" s="133" t="str">
        <f>IFERROR(__xludf.DUMMYFUNCTION("""COMPUTED_VALUE"""),"April'26")</f>
        <v>April'26</v>
      </c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33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5"/>
    </row>
    <row r="836" hidden="1">
      <c r="A836" s="133" t="str">
        <f>IFERROR(__xludf.DUMMYFUNCTION("""COMPUTED_VALUE"""),"April'26")</f>
        <v>April'26</v>
      </c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33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5"/>
    </row>
    <row r="837" hidden="1">
      <c r="A837" s="133" t="str">
        <f>IFERROR(__xludf.DUMMYFUNCTION("""COMPUTED_VALUE"""),"April'26")</f>
        <v>April'26</v>
      </c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33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5"/>
    </row>
    <row r="838" hidden="1">
      <c r="A838" s="133" t="str">
        <f>IFERROR(__xludf.DUMMYFUNCTION("""COMPUTED_VALUE"""),"April'26")</f>
        <v>April'26</v>
      </c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33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5"/>
    </row>
    <row r="839" hidden="1">
      <c r="A839" s="133" t="str">
        <f>IFERROR(__xludf.DUMMYFUNCTION("""COMPUTED_VALUE"""),"April'26")</f>
        <v>April'26</v>
      </c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33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5"/>
    </row>
    <row r="840" hidden="1">
      <c r="A840" s="133" t="str">
        <f>IFERROR(__xludf.DUMMYFUNCTION("""COMPUTED_VALUE"""),"April'26")</f>
        <v>April'26</v>
      </c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33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5"/>
    </row>
    <row r="841" hidden="1">
      <c r="A841" s="133" t="str">
        <f>IFERROR(__xludf.DUMMYFUNCTION("""COMPUTED_VALUE"""),"April'26")</f>
        <v>April'26</v>
      </c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33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5"/>
    </row>
    <row r="842" hidden="1">
      <c r="A842" s="133" t="str">
        <f>IFERROR(__xludf.DUMMYFUNCTION("""COMPUTED_VALUE"""),"April'26")</f>
        <v>April'26</v>
      </c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33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5"/>
    </row>
    <row r="843" hidden="1">
      <c r="A843" s="133" t="str">
        <f>IFERROR(__xludf.DUMMYFUNCTION("""COMPUTED_VALUE"""),"April'26")</f>
        <v>April'26</v>
      </c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33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5"/>
    </row>
    <row r="844" hidden="1">
      <c r="A844" s="133" t="str">
        <f>IFERROR(__xludf.DUMMYFUNCTION("""COMPUTED_VALUE"""),"April'26")</f>
        <v>April'26</v>
      </c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33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5"/>
    </row>
    <row r="845" hidden="1">
      <c r="A845" s="133" t="str">
        <f>IFERROR(__xludf.DUMMYFUNCTION("""COMPUTED_VALUE"""),"April'26")</f>
        <v>April'26</v>
      </c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33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5"/>
    </row>
    <row r="846" hidden="1">
      <c r="A846" s="133" t="str">
        <f>IFERROR(__xludf.DUMMYFUNCTION("""COMPUTED_VALUE"""),"April'26")</f>
        <v>April'26</v>
      </c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33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5"/>
    </row>
    <row r="847" hidden="1">
      <c r="A847" s="133" t="str">
        <f>IFERROR(__xludf.DUMMYFUNCTION("""COMPUTED_VALUE"""),"April'26")</f>
        <v>April'26</v>
      </c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33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5"/>
    </row>
    <row r="848" hidden="1">
      <c r="A848" s="133" t="str">
        <f>IFERROR(__xludf.DUMMYFUNCTION("""COMPUTED_VALUE"""),"April'26")</f>
        <v>April'26</v>
      </c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33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5"/>
    </row>
    <row r="849" hidden="1">
      <c r="A849" s="133" t="str">
        <f>IFERROR(__xludf.DUMMYFUNCTION("""COMPUTED_VALUE"""),"April'26")</f>
        <v>April'26</v>
      </c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33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5"/>
    </row>
    <row r="850" hidden="1">
      <c r="A850" s="133" t="str">
        <f>IFERROR(__xludf.DUMMYFUNCTION("""COMPUTED_VALUE"""),"April'26")</f>
        <v>April'26</v>
      </c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33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5"/>
    </row>
    <row r="851" hidden="1">
      <c r="A851" s="133" t="str">
        <f>IFERROR(__xludf.DUMMYFUNCTION("""COMPUTED_VALUE"""),"April'26")</f>
        <v>April'26</v>
      </c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33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5"/>
    </row>
    <row r="852" hidden="1">
      <c r="A852" s="133" t="str">
        <f>IFERROR(__xludf.DUMMYFUNCTION("""COMPUTED_VALUE"""),"April'26")</f>
        <v>April'26</v>
      </c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33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5"/>
    </row>
    <row r="853" hidden="1">
      <c r="A853" s="133" t="str">
        <f>IFERROR(__xludf.DUMMYFUNCTION("""COMPUTED_VALUE"""),"April'26")</f>
        <v>April'26</v>
      </c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33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5"/>
    </row>
    <row r="854" hidden="1">
      <c r="A854" s="133" t="str">
        <f>IFERROR(__xludf.DUMMYFUNCTION("""COMPUTED_VALUE"""),"April'26")</f>
        <v>April'26</v>
      </c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33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5"/>
    </row>
    <row r="855" hidden="1">
      <c r="A855" s="133" t="str">
        <f>IFERROR(__xludf.DUMMYFUNCTION("""COMPUTED_VALUE"""),"April'26")</f>
        <v>April'26</v>
      </c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33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5"/>
    </row>
    <row r="856" hidden="1">
      <c r="A856" s="133" t="str">
        <f>IFERROR(__xludf.DUMMYFUNCTION("""COMPUTED_VALUE"""),"April'26")</f>
        <v>April'26</v>
      </c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33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5"/>
    </row>
    <row r="857" hidden="1">
      <c r="A857" s="133" t="str">
        <f>IFERROR(__xludf.DUMMYFUNCTION("""COMPUTED_VALUE"""),"April'26")</f>
        <v>April'26</v>
      </c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33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5"/>
    </row>
    <row r="858" hidden="1">
      <c r="A858" s="133" t="str">
        <f>IFERROR(__xludf.DUMMYFUNCTION("""COMPUTED_VALUE"""),"April'26")</f>
        <v>April'26</v>
      </c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33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5"/>
    </row>
    <row r="859" hidden="1">
      <c r="A859" s="133" t="str">
        <f>IFERROR(__xludf.DUMMYFUNCTION("""COMPUTED_VALUE"""),"April'26")</f>
        <v>April'26</v>
      </c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33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5"/>
    </row>
    <row r="860" hidden="1">
      <c r="A860" s="133" t="str">
        <f>IFERROR(__xludf.DUMMYFUNCTION("""COMPUTED_VALUE"""),"April'26")</f>
        <v>April'26</v>
      </c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33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5"/>
    </row>
    <row r="861" hidden="1">
      <c r="A861" s="133" t="str">
        <f>IFERROR(__xludf.DUMMYFUNCTION("""COMPUTED_VALUE"""),"April'26")</f>
        <v>April'26</v>
      </c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33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5"/>
    </row>
    <row r="862" hidden="1">
      <c r="A862" s="133" t="str">
        <f>IFERROR(__xludf.DUMMYFUNCTION("""COMPUTED_VALUE"""),"April'26")</f>
        <v>April'26</v>
      </c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33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5"/>
    </row>
    <row r="863" hidden="1">
      <c r="A863" s="133" t="str">
        <f>IFERROR(__xludf.DUMMYFUNCTION("""COMPUTED_VALUE"""),"April'26")</f>
        <v>April'26</v>
      </c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33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5"/>
    </row>
    <row r="864" hidden="1">
      <c r="A864" s="133" t="str">
        <f>IFERROR(__xludf.DUMMYFUNCTION("""COMPUTED_VALUE"""),"April'26")</f>
        <v>April'26</v>
      </c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33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5"/>
    </row>
    <row r="865" hidden="1">
      <c r="A865" s="133" t="str">
        <f>IFERROR(__xludf.DUMMYFUNCTION("""COMPUTED_VALUE"""),"April'26")</f>
        <v>April'26</v>
      </c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33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5"/>
    </row>
    <row r="866" hidden="1">
      <c r="A866" s="133" t="str">
        <f>IFERROR(__xludf.DUMMYFUNCTION("""COMPUTED_VALUE"""),"April'26")</f>
        <v>April'26</v>
      </c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33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5"/>
    </row>
    <row r="867" hidden="1">
      <c r="A867" s="133" t="str">
        <f>IFERROR(__xludf.DUMMYFUNCTION("""COMPUTED_VALUE"""),"April'26")</f>
        <v>April'26</v>
      </c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33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5"/>
    </row>
    <row r="868" hidden="1">
      <c r="A868" s="133" t="str">
        <f>IFERROR(__xludf.DUMMYFUNCTION("""COMPUTED_VALUE"""),"April'26")</f>
        <v>April'26</v>
      </c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33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5"/>
    </row>
    <row r="869" hidden="1">
      <c r="A869" s="133" t="str">
        <f>IFERROR(__xludf.DUMMYFUNCTION("""COMPUTED_VALUE"""),"April'26")</f>
        <v>April'26</v>
      </c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33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5"/>
    </row>
    <row r="870" hidden="1">
      <c r="A870" s="133" t="str">
        <f>IFERROR(__xludf.DUMMYFUNCTION("""COMPUTED_VALUE"""),"April'26")</f>
        <v>April'26</v>
      </c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33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5"/>
    </row>
    <row r="871" hidden="1">
      <c r="A871" s="133" t="str">
        <f>IFERROR(__xludf.DUMMYFUNCTION("""COMPUTED_VALUE"""),"April'26")</f>
        <v>April'26</v>
      </c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33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5"/>
    </row>
    <row r="872" hidden="1">
      <c r="A872" s="133" t="str">
        <f>IFERROR(__xludf.DUMMYFUNCTION("""COMPUTED_VALUE"""),"April'26")</f>
        <v>April'26</v>
      </c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33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5"/>
    </row>
    <row r="873" hidden="1">
      <c r="A873" s="133" t="str">
        <f>IFERROR(__xludf.DUMMYFUNCTION("""COMPUTED_VALUE"""),"April'26")</f>
        <v>April'26</v>
      </c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33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5"/>
    </row>
    <row r="874" hidden="1">
      <c r="A874" s="133" t="str">
        <f>IFERROR(__xludf.DUMMYFUNCTION("""COMPUTED_VALUE"""),"April'26")</f>
        <v>April'26</v>
      </c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33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5"/>
    </row>
    <row r="875" hidden="1">
      <c r="A875" s="133" t="str">
        <f>IFERROR(__xludf.DUMMYFUNCTION("""COMPUTED_VALUE"""),"April'26")</f>
        <v>April'26</v>
      </c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33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5"/>
    </row>
    <row r="876" hidden="1">
      <c r="A876" s="133" t="str">
        <f>IFERROR(__xludf.DUMMYFUNCTION("""COMPUTED_VALUE"""),"April'26")</f>
        <v>April'26</v>
      </c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33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5"/>
    </row>
    <row r="877" hidden="1">
      <c r="A877" s="133" t="str">
        <f>IFERROR(__xludf.DUMMYFUNCTION("""COMPUTED_VALUE"""),"April'26")</f>
        <v>April'26</v>
      </c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33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5"/>
    </row>
    <row r="878" hidden="1">
      <c r="A878" s="133" t="str">
        <f>IFERROR(__xludf.DUMMYFUNCTION("""COMPUTED_VALUE"""),"April'26")</f>
        <v>April'26</v>
      </c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33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5"/>
    </row>
    <row r="879" hidden="1">
      <c r="A879" s="133" t="str">
        <f>IFERROR(__xludf.DUMMYFUNCTION("""COMPUTED_VALUE"""),"April'26")</f>
        <v>April'26</v>
      </c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33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5"/>
    </row>
    <row r="880" hidden="1">
      <c r="A880" s="133" t="str">
        <f>IFERROR(__xludf.DUMMYFUNCTION("""COMPUTED_VALUE"""),"April'26")</f>
        <v>April'26</v>
      </c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33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5"/>
    </row>
    <row r="881" hidden="1">
      <c r="A881" s="133" t="str">
        <f>IFERROR(__xludf.DUMMYFUNCTION("""COMPUTED_VALUE"""),"April'26")</f>
        <v>April'26</v>
      </c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33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5"/>
    </row>
    <row r="882" hidden="1">
      <c r="A882" s="133" t="str">
        <f>IFERROR(__xludf.DUMMYFUNCTION("""COMPUTED_VALUE"""),"April'26")</f>
        <v>April'26</v>
      </c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33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5"/>
    </row>
    <row r="883" hidden="1">
      <c r="A883" s="133" t="str">
        <f>IFERROR(__xludf.DUMMYFUNCTION("""COMPUTED_VALUE"""),"April'26")</f>
        <v>April'26</v>
      </c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33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5"/>
    </row>
    <row r="884" hidden="1">
      <c r="A884" s="133" t="str">
        <f>IFERROR(__xludf.DUMMYFUNCTION("""COMPUTED_VALUE"""),"April'26")</f>
        <v>April'26</v>
      </c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33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5"/>
    </row>
    <row r="885" hidden="1">
      <c r="A885" s="133" t="str">
        <f>IFERROR(__xludf.DUMMYFUNCTION("""COMPUTED_VALUE"""),"April'26")</f>
        <v>April'26</v>
      </c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33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5"/>
    </row>
    <row r="886" hidden="1">
      <c r="A886" s="133" t="str">
        <f>IFERROR(__xludf.DUMMYFUNCTION("""COMPUTED_VALUE"""),"April'26")</f>
        <v>April'26</v>
      </c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33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5"/>
    </row>
    <row r="887" hidden="1">
      <c r="A887" s="133" t="str">
        <f>IFERROR(__xludf.DUMMYFUNCTION("""COMPUTED_VALUE"""),"April'26")</f>
        <v>April'26</v>
      </c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33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5"/>
    </row>
    <row r="888" hidden="1">
      <c r="A888" s="133" t="str">
        <f>IFERROR(__xludf.DUMMYFUNCTION("""COMPUTED_VALUE"""),"April'26")</f>
        <v>April'26</v>
      </c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33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5"/>
    </row>
    <row r="889" hidden="1">
      <c r="A889" s="133" t="str">
        <f>IFERROR(__xludf.DUMMYFUNCTION("""COMPUTED_VALUE"""),"April'26")</f>
        <v>April'26</v>
      </c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33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5"/>
    </row>
    <row r="890" hidden="1">
      <c r="A890" s="133" t="str">
        <f>IFERROR(__xludf.DUMMYFUNCTION("""COMPUTED_VALUE"""),"April'26")</f>
        <v>April'26</v>
      </c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33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5"/>
    </row>
    <row r="891" hidden="1">
      <c r="A891" s="133" t="str">
        <f>IFERROR(__xludf.DUMMYFUNCTION("""COMPUTED_VALUE"""),"April'26")</f>
        <v>April'26</v>
      </c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33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5"/>
    </row>
    <row r="892" hidden="1">
      <c r="A892" s="133" t="str">
        <f>IFERROR(__xludf.DUMMYFUNCTION("""COMPUTED_VALUE"""),"April'26")</f>
        <v>April'26</v>
      </c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33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5"/>
    </row>
    <row r="893" hidden="1">
      <c r="A893" s="133" t="str">
        <f>IFERROR(__xludf.DUMMYFUNCTION("""COMPUTED_VALUE"""),"April'26")</f>
        <v>April'26</v>
      </c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33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5"/>
    </row>
    <row r="894" hidden="1">
      <c r="A894" s="133" t="str">
        <f>IFERROR(__xludf.DUMMYFUNCTION("""COMPUTED_VALUE"""),"April'26")</f>
        <v>April'26</v>
      </c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33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5"/>
    </row>
    <row r="895" hidden="1">
      <c r="A895" s="133" t="str">
        <f>IFERROR(__xludf.DUMMYFUNCTION("""COMPUTED_VALUE"""),"April'26")</f>
        <v>April'26</v>
      </c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33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5"/>
    </row>
    <row r="896" hidden="1">
      <c r="A896" s="133" t="str">
        <f>IFERROR(__xludf.DUMMYFUNCTION("""COMPUTED_VALUE"""),"April'26")</f>
        <v>April'26</v>
      </c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33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5"/>
    </row>
    <row r="897" hidden="1">
      <c r="A897" s="133" t="str">
        <f>IFERROR(__xludf.DUMMYFUNCTION("""COMPUTED_VALUE"""),"April'26")</f>
        <v>April'26</v>
      </c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33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5"/>
    </row>
    <row r="898" hidden="1">
      <c r="A898" s="133" t="str">
        <f>IFERROR(__xludf.DUMMYFUNCTION("""COMPUTED_VALUE"""),"April'26")</f>
        <v>April'26</v>
      </c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33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5"/>
    </row>
    <row r="899" hidden="1">
      <c r="A899" s="133" t="str">
        <f>IFERROR(__xludf.DUMMYFUNCTION("""COMPUTED_VALUE"""),"April'26")</f>
        <v>April'26</v>
      </c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33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5"/>
    </row>
    <row r="900" hidden="1">
      <c r="A900" s="133" t="str">
        <f>IFERROR(__xludf.DUMMYFUNCTION("""COMPUTED_VALUE"""),"April'26")</f>
        <v>April'26</v>
      </c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33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5"/>
    </row>
    <row r="901" hidden="1">
      <c r="A901" s="133" t="str">
        <f>IFERROR(__xludf.DUMMYFUNCTION("""COMPUTED_VALUE"""),"April'26")</f>
        <v>April'26</v>
      </c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33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5"/>
    </row>
    <row r="902" hidden="1">
      <c r="A902" s="133" t="str">
        <f>IFERROR(__xludf.DUMMYFUNCTION("""COMPUTED_VALUE"""),"April'26")</f>
        <v>April'26</v>
      </c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33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5"/>
    </row>
    <row r="903" hidden="1">
      <c r="A903" s="133" t="str">
        <f>IFERROR(__xludf.DUMMYFUNCTION("""COMPUTED_VALUE"""),"April'26")</f>
        <v>April'26</v>
      </c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33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5"/>
    </row>
    <row r="904" hidden="1">
      <c r="A904" s="133" t="str">
        <f>IFERROR(__xludf.DUMMYFUNCTION("""COMPUTED_VALUE"""),"April'26")</f>
        <v>April'26</v>
      </c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33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5"/>
    </row>
    <row r="905" hidden="1">
      <c r="A905" s="133" t="str">
        <f>IFERROR(__xludf.DUMMYFUNCTION("""COMPUTED_VALUE"""),"April'26")</f>
        <v>April'26</v>
      </c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33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5"/>
    </row>
    <row r="906" hidden="1">
      <c r="A906" s="133" t="str">
        <f>IFERROR(__xludf.DUMMYFUNCTION("""COMPUTED_VALUE"""),"April'26")</f>
        <v>April'26</v>
      </c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33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5"/>
    </row>
    <row r="907" hidden="1">
      <c r="A907" s="133" t="str">
        <f>IFERROR(__xludf.DUMMYFUNCTION("""COMPUTED_VALUE"""),"April'26")</f>
        <v>April'26</v>
      </c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33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5"/>
    </row>
    <row r="908" hidden="1">
      <c r="A908" s="133" t="str">
        <f>IFERROR(__xludf.DUMMYFUNCTION("""COMPUTED_VALUE"""),"April'26")</f>
        <v>April'26</v>
      </c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33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5"/>
    </row>
    <row r="909" hidden="1">
      <c r="A909" s="133" t="str">
        <f>IFERROR(__xludf.DUMMYFUNCTION("""COMPUTED_VALUE"""),"April'26")</f>
        <v>April'26</v>
      </c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33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5"/>
    </row>
    <row r="910" hidden="1">
      <c r="A910" s="133" t="str">
        <f>IFERROR(__xludf.DUMMYFUNCTION("""COMPUTED_VALUE"""),"April'26")</f>
        <v>April'26</v>
      </c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33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5"/>
    </row>
    <row r="911" hidden="1">
      <c r="A911" s="133" t="str">
        <f>IFERROR(__xludf.DUMMYFUNCTION("""COMPUTED_VALUE"""),"April'26")</f>
        <v>April'26</v>
      </c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33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5"/>
    </row>
    <row r="912" hidden="1">
      <c r="A912" s="133" t="str">
        <f>IFERROR(__xludf.DUMMYFUNCTION("""COMPUTED_VALUE"""),"April'26")</f>
        <v>April'26</v>
      </c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33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5"/>
    </row>
    <row r="913" hidden="1">
      <c r="A913" s="133" t="str">
        <f>IFERROR(__xludf.DUMMYFUNCTION("""COMPUTED_VALUE"""),"April'26")</f>
        <v>April'26</v>
      </c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33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5"/>
    </row>
    <row r="914" hidden="1">
      <c r="A914" s="133" t="str">
        <f>IFERROR(__xludf.DUMMYFUNCTION("""COMPUTED_VALUE"""),"April'26")</f>
        <v>April'26</v>
      </c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33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5"/>
    </row>
    <row r="915" hidden="1">
      <c r="A915" s="133" t="str">
        <f>IFERROR(__xludf.DUMMYFUNCTION("""COMPUTED_VALUE"""),"April'26")</f>
        <v>April'26</v>
      </c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33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5"/>
    </row>
    <row r="916" hidden="1">
      <c r="A916" s="133" t="str">
        <f>IFERROR(__xludf.DUMMYFUNCTION("""COMPUTED_VALUE"""),"April'26")</f>
        <v>April'26</v>
      </c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33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5"/>
    </row>
    <row r="917" hidden="1">
      <c r="A917" s="133" t="str">
        <f>IFERROR(__xludf.DUMMYFUNCTION("""COMPUTED_VALUE"""),"April'26")</f>
        <v>April'26</v>
      </c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33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5"/>
    </row>
    <row r="918" hidden="1">
      <c r="A918" s="133" t="str">
        <f>IFERROR(__xludf.DUMMYFUNCTION("""COMPUTED_VALUE"""),"April'26")</f>
        <v>April'26</v>
      </c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33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5"/>
    </row>
    <row r="919" hidden="1">
      <c r="A919" s="133" t="str">
        <f>IFERROR(__xludf.DUMMYFUNCTION("""COMPUTED_VALUE"""),"April'26")</f>
        <v>April'26</v>
      </c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33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5"/>
    </row>
    <row r="920" hidden="1">
      <c r="A920" s="133" t="str">
        <f>IFERROR(__xludf.DUMMYFUNCTION("""COMPUTED_VALUE"""),"April'26")</f>
        <v>April'26</v>
      </c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33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5"/>
    </row>
    <row r="921" hidden="1">
      <c r="A921" s="133" t="str">
        <f>IFERROR(__xludf.DUMMYFUNCTION("""COMPUTED_VALUE"""),"April'26")</f>
        <v>April'26</v>
      </c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33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5"/>
    </row>
    <row r="922" hidden="1">
      <c r="A922" s="133" t="str">
        <f>IFERROR(__xludf.DUMMYFUNCTION("""COMPUTED_VALUE"""),"April'26")</f>
        <v>April'26</v>
      </c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33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5"/>
    </row>
    <row r="923" hidden="1">
      <c r="A923" s="133" t="str">
        <f>IFERROR(__xludf.DUMMYFUNCTION("""COMPUTED_VALUE"""),"April'26")</f>
        <v>April'26</v>
      </c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33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5"/>
    </row>
    <row r="924" hidden="1">
      <c r="A924" s="133" t="str">
        <f>IFERROR(__xludf.DUMMYFUNCTION("""COMPUTED_VALUE"""),"April'26")</f>
        <v>April'26</v>
      </c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33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5"/>
    </row>
    <row r="925" hidden="1">
      <c r="A925" s="133" t="str">
        <f>IFERROR(__xludf.DUMMYFUNCTION("""COMPUTED_VALUE"""),"April'26")</f>
        <v>April'26</v>
      </c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33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5"/>
    </row>
    <row r="926" hidden="1">
      <c r="A926" s="133" t="str">
        <f>IFERROR(__xludf.DUMMYFUNCTION("""COMPUTED_VALUE"""),"April'26")</f>
        <v>April'26</v>
      </c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33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5"/>
    </row>
    <row r="927" hidden="1">
      <c r="A927" s="133" t="str">
        <f>IFERROR(__xludf.DUMMYFUNCTION("""COMPUTED_VALUE"""),"April'26")</f>
        <v>April'26</v>
      </c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33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5"/>
    </row>
    <row r="928" hidden="1">
      <c r="A928" s="133" t="str">
        <f>IFERROR(__xludf.DUMMYFUNCTION("""COMPUTED_VALUE"""),"April'26")</f>
        <v>April'26</v>
      </c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33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5"/>
    </row>
    <row r="929" hidden="1">
      <c r="A929" s="133" t="str">
        <f>IFERROR(__xludf.DUMMYFUNCTION("""COMPUTED_VALUE"""),"April'26")</f>
        <v>April'26</v>
      </c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33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5"/>
    </row>
    <row r="930" hidden="1">
      <c r="A930" s="133" t="str">
        <f>IFERROR(__xludf.DUMMYFUNCTION("""COMPUTED_VALUE"""),"April'26")</f>
        <v>April'26</v>
      </c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33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5"/>
    </row>
    <row r="931" hidden="1">
      <c r="A931" s="133" t="str">
        <f>IFERROR(__xludf.DUMMYFUNCTION("""COMPUTED_VALUE"""),"April'26")</f>
        <v>April'26</v>
      </c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33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5"/>
    </row>
    <row r="932" hidden="1">
      <c r="A932" s="133" t="str">
        <f>IFERROR(__xludf.DUMMYFUNCTION("""COMPUTED_VALUE"""),"April'26")</f>
        <v>April'26</v>
      </c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33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5"/>
    </row>
    <row r="933" hidden="1">
      <c r="A933" s="133" t="str">
        <f>IFERROR(__xludf.DUMMYFUNCTION("""COMPUTED_VALUE"""),"April'26")</f>
        <v>April'26</v>
      </c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33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5"/>
    </row>
    <row r="934" hidden="1">
      <c r="A934" s="133" t="str">
        <f>IFERROR(__xludf.DUMMYFUNCTION("""COMPUTED_VALUE"""),"April'26")</f>
        <v>April'26</v>
      </c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3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5"/>
    </row>
    <row r="935" hidden="1">
      <c r="A935" s="133" t="str">
        <f>IFERROR(__xludf.DUMMYFUNCTION("""COMPUTED_VALUE"""),"April'26")</f>
        <v>April'26</v>
      </c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33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5"/>
    </row>
    <row r="936" hidden="1">
      <c r="A936" s="133" t="str">
        <f>IFERROR(__xludf.DUMMYFUNCTION("""COMPUTED_VALUE"""),"April'26")</f>
        <v>April'26</v>
      </c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33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5"/>
    </row>
    <row r="937" hidden="1">
      <c r="A937" s="133" t="str">
        <f>IFERROR(__xludf.DUMMYFUNCTION("""COMPUTED_VALUE"""),"April'26")</f>
        <v>April'26</v>
      </c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33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5"/>
    </row>
    <row r="938" hidden="1">
      <c r="A938" s="133" t="str">
        <f>IFERROR(__xludf.DUMMYFUNCTION("""COMPUTED_VALUE"""),"April'26")</f>
        <v>April'26</v>
      </c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33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5"/>
    </row>
    <row r="939" hidden="1">
      <c r="A939" s="133" t="str">
        <f>IFERROR(__xludf.DUMMYFUNCTION("""COMPUTED_VALUE"""),"April'26")</f>
        <v>April'26</v>
      </c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33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5"/>
    </row>
    <row r="940" hidden="1">
      <c r="A940" s="133" t="str">
        <f>IFERROR(__xludf.DUMMYFUNCTION("""COMPUTED_VALUE"""),"April'26")</f>
        <v>April'26</v>
      </c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33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5"/>
    </row>
    <row r="941" hidden="1">
      <c r="A941" s="133" t="str">
        <f>IFERROR(__xludf.DUMMYFUNCTION("""COMPUTED_VALUE"""),"April'26")</f>
        <v>April'26</v>
      </c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33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5"/>
    </row>
    <row r="942" hidden="1">
      <c r="A942" s="133" t="str">
        <f>IFERROR(__xludf.DUMMYFUNCTION("""COMPUTED_VALUE"""),"April'26")</f>
        <v>April'26</v>
      </c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33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5"/>
    </row>
    <row r="943" hidden="1">
      <c r="A943" s="133" t="str">
        <f>IFERROR(__xludf.DUMMYFUNCTION("""COMPUTED_VALUE"""),"April'26")</f>
        <v>April'26</v>
      </c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33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5"/>
    </row>
    <row r="944" hidden="1">
      <c r="A944" s="133" t="str">
        <f>IFERROR(__xludf.DUMMYFUNCTION("""COMPUTED_VALUE"""),"April'26")</f>
        <v>April'26</v>
      </c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33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5"/>
    </row>
    <row r="945" hidden="1">
      <c r="A945" s="133" t="str">
        <f>IFERROR(__xludf.DUMMYFUNCTION("""COMPUTED_VALUE"""),"April'26")</f>
        <v>April'26</v>
      </c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33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5"/>
    </row>
    <row r="946" hidden="1">
      <c r="A946" s="133" t="str">
        <f>IFERROR(__xludf.DUMMYFUNCTION("""COMPUTED_VALUE"""),"April'26")</f>
        <v>April'26</v>
      </c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3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5"/>
    </row>
    <row r="947" hidden="1">
      <c r="A947" s="133" t="str">
        <f>IFERROR(__xludf.DUMMYFUNCTION("""COMPUTED_VALUE"""),"April'26")</f>
        <v>April'26</v>
      </c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33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5"/>
    </row>
    <row r="948" hidden="1">
      <c r="A948" s="133" t="str">
        <f>IFERROR(__xludf.DUMMYFUNCTION("""COMPUTED_VALUE"""),"April'26")</f>
        <v>April'26</v>
      </c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3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5"/>
    </row>
    <row r="949" hidden="1">
      <c r="A949" s="133" t="str">
        <f>IFERROR(__xludf.DUMMYFUNCTION("""COMPUTED_VALUE"""),"April'26")</f>
        <v>April'26</v>
      </c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33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5"/>
    </row>
    <row r="950" hidden="1">
      <c r="A950" s="133" t="str">
        <f>IFERROR(__xludf.DUMMYFUNCTION("""COMPUTED_VALUE"""),"April'26")</f>
        <v>April'26</v>
      </c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33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5"/>
    </row>
    <row r="951" hidden="1">
      <c r="A951" s="133" t="str">
        <f>IFERROR(__xludf.DUMMYFUNCTION("""COMPUTED_VALUE"""),"April'26")</f>
        <v>April'26</v>
      </c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33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5"/>
    </row>
    <row r="952" hidden="1">
      <c r="A952" s="133" t="str">
        <f>IFERROR(__xludf.DUMMYFUNCTION("""COMPUTED_VALUE"""),"April'26")</f>
        <v>April'26</v>
      </c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33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5"/>
    </row>
    <row r="953" hidden="1">
      <c r="A953" s="133" t="str">
        <f>IFERROR(__xludf.DUMMYFUNCTION("""COMPUTED_VALUE"""),"April'26")</f>
        <v>April'26</v>
      </c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33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5"/>
    </row>
    <row r="954" hidden="1">
      <c r="A954" s="133" t="str">
        <f>IFERROR(__xludf.DUMMYFUNCTION("""COMPUTED_VALUE"""),"April'26")</f>
        <v>April'26</v>
      </c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33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5"/>
    </row>
    <row r="955" hidden="1">
      <c r="A955" s="133" t="str">
        <f>IFERROR(__xludf.DUMMYFUNCTION("""COMPUTED_VALUE"""),"April'26")</f>
        <v>April'26</v>
      </c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33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5"/>
    </row>
    <row r="956" hidden="1">
      <c r="A956" s="133" t="str">
        <f>IFERROR(__xludf.DUMMYFUNCTION("""COMPUTED_VALUE"""),"April'26")</f>
        <v>April'26</v>
      </c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33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5"/>
    </row>
    <row r="957" hidden="1">
      <c r="A957" s="133" t="str">
        <f>IFERROR(__xludf.DUMMYFUNCTION("""COMPUTED_VALUE"""),"April'26")</f>
        <v>April'26</v>
      </c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33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5"/>
    </row>
    <row r="958" hidden="1">
      <c r="A958" s="133" t="str">
        <f>IFERROR(__xludf.DUMMYFUNCTION("""COMPUTED_VALUE"""),"April'26")</f>
        <v>April'26</v>
      </c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33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5"/>
    </row>
    <row r="959" hidden="1">
      <c r="A959" s="133" t="str">
        <f>IFERROR(__xludf.DUMMYFUNCTION("""COMPUTED_VALUE"""),"April'26")</f>
        <v>April'26</v>
      </c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33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5"/>
    </row>
    <row r="960" hidden="1">
      <c r="A960" s="133" t="str">
        <f>IFERROR(__xludf.DUMMYFUNCTION("""COMPUTED_VALUE"""),"April'26")</f>
        <v>April'26</v>
      </c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33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5"/>
    </row>
    <row r="961" hidden="1">
      <c r="A961" s="133" t="str">
        <f>IFERROR(__xludf.DUMMYFUNCTION("""COMPUTED_VALUE"""),"April'26")</f>
        <v>April'26</v>
      </c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33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5"/>
    </row>
    <row r="962" hidden="1">
      <c r="A962" s="133" t="str">
        <f>IFERROR(__xludf.DUMMYFUNCTION("""COMPUTED_VALUE"""),"April'26")</f>
        <v>April'26</v>
      </c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33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5"/>
    </row>
    <row r="963" hidden="1">
      <c r="A963" s="133" t="str">
        <f>IFERROR(__xludf.DUMMYFUNCTION("""COMPUTED_VALUE"""),"April'26")</f>
        <v>April'26</v>
      </c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33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5"/>
    </row>
    <row r="964" hidden="1">
      <c r="A964" s="133" t="str">
        <f>IFERROR(__xludf.DUMMYFUNCTION("""COMPUTED_VALUE"""),"April'26")</f>
        <v>April'26</v>
      </c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33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5"/>
    </row>
    <row r="965" hidden="1">
      <c r="A965" s="133" t="str">
        <f>IFERROR(__xludf.DUMMYFUNCTION("""COMPUTED_VALUE"""),"April'26")</f>
        <v>April'26</v>
      </c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33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5"/>
    </row>
    <row r="966" hidden="1">
      <c r="A966" s="133" t="str">
        <f>IFERROR(__xludf.DUMMYFUNCTION("""COMPUTED_VALUE"""),"April'26")</f>
        <v>April'26</v>
      </c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33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5"/>
    </row>
    <row r="967" hidden="1">
      <c r="A967" s="133" t="str">
        <f>IFERROR(__xludf.DUMMYFUNCTION("""COMPUTED_VALUE"""),"April'26")</f>
        <v>April'26</v>
      </c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33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5"/>
    </row>
    <row r="968" hidden="1">
      <c r="A968" s="133" t="str">
        <f>IFERROR(__xludf.DUMMYFUNCTION("""COMPUTED_VALUE"""),"April'26")</f>
        <v>April'26</v>
      </c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33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5"/>
    </row>
    <row r="969" hidden="1">
      <c r="A969" s="133" t="str">
        <f>IFERROR(__xludf.DUMMYFUNCTION("""COMPUTED_VALUE"""),"April'26")</f>
        <v>April'26</v>
      </c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33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5"/>
    </row>
    <row r="970" hidden="1">
      <c r="A970" s="133" t="str">
        <f>IFERROR(__xludf.DUMMYFUNCTION("""COMPUTED_VALUE"""),"April'26")</f>
        <v>April'26</v>
      </c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33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5"/>
    </row>
    <row r="971" hidden="1">
      <c r="A971" s="133" t="str">
        <f>IFERROR(__xludf.DUMMYFUNCTION("""COMPUTED_VALUE"""),"April'26")</f>
        <v>April'26</v>
      </c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33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5"/>
    </row>
    <row r="972" hidden="1">
      <c r="A972" s="133" t="str">
        <f>IFERROR(__xludf.DUMMYFUNCTION("""COMPUTED_VALUE"""),"April'26")</f>
        <v>April'26</v>
      </c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33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5"/>
    </row>
    <row r="973" hidden="1">
      <c r="A973" s="133" t="str">
        <f>IFERROR(__xludf.DUMMYFUNCTION("""COMPUTED_VALUE"""),"April'26")</f>
        <v>April'26</v>
      </c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33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5"/>
    </row>
    <row r="974" hidden="1">
      <c r="A974" s="133" t="str">
        <f>IFERROR(__xludf.DUMMYFUNCTION("""COMPUTED_VALUE"""),"April'26")</f>
        <v>April'26</v>
      </c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33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5"/>
    </row>
    <row r="975" hidden="1">
      <c r="A975" s="133" t="str">
        <f>IFERROR(__xludf.DUMMYFUNCTION("""COMPUTED_VALUE"""),"April'26")</f>
        <v>April'26</v>
      </c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33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5"/>
    </row>
    <row r="976" hidden="1">
      <c r="A976" s="133" t="str">
        <f>IFERROR(__xludf.DUMMYFUNCTION("""COMPUTED_VALUE"""),"April'26")</f>
        <v>April'26</v>
      </c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33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5"/>
    </row>
    <row r="977" hidden="1">
      <c r="A977" s="133" t="str">
        <f>IFERROR(__xludf.DUMMYFUNCTION("""COMPUTED_VALUE"""),"April'26")</f>
        <v>April'26</v>
      </c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33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5"/>
    </row>
    <row r="978" hidden="1">
      <c r="A978" s="133" t="str">
        <f>IFERROR(__xludf.DUMMYFUNCTION("""COMPUTED_VALUE"""),"April'26")</f>
        <v>April'26</v>
      </c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33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5"/>
    </row>
    <row r="979" hidden="1">
      <c r="A979" s="133" t="str">
        <f>IFERROR(__xludf.DUMMYFUNCTION("""COMPUTED_VALUE"""),"April'26")</f>
        <v>April'26</v>
      </c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33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5"/>
    </row>
    <row r="980" hidden="1">
      <c r="A980" s="133" t="str">
        <f>IFERROR(__xludf.DUMMYFUNCTION("""COMPUTED_VALUE"""),"April'26")</f>
        <v>April'26</v>
      </c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33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5"/>
    </row>
    <row r="981" hidden="1">
      <c r="A981" s="133" t="str">
        <f>IFERROR(__xludf.DUMMYFUNCTION("""COMPUTED_VALUE"""),"April'26")</f>
        <v>April'26</v>
      </c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33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5"/>
    </row>
    <row r="982" hidden="1">
      <c r="A982" s="133" t="str">
        <f>IFERROR(__xludf.DUMMYFUNCTION("""COMPUTED_VALUE"""),"April'26")</f>
        <v>April'26</v>
      </c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33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5"/>
    </row>
    <row r="983" hidden="1">
      <c r="A983" s="133" t="str">
        <f>IFERROR(__xludf.DUMMYFUNCTION("""COMPUTED_VALUE"""),"April'26")</f>
        <v>April'26</v>
      </c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33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5"/>
    </row>
    <row r="984" hidden="1">
      <c r="A984" s="133" t="str">
        <f>IFERROR(__xludf.DUMMYFUNCTION("""COMPUTED_VALUE"""),"April'26")</f>
        <v>April'26</v>
      </c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33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5"/>
    </row>
    <row r="985" hidden="1">
      <c r="A985" s="133" t="str">
        <f>IFERROR(__xludf.DUMMYFUNCTION("""COMPUTED_VALUE"""),"April'26")</f>
        <v>April'26</v>
      </c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33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5"/>
    </row>
    <row r="986" hidden="1">
      <c r="A986" s="133" t="str">
        <f>IFERROR(__xludf.DUMMYFUNCTION("""COMPUTED_VALUE"""),"April'26")</f>
        <v>April'26</v>
      </c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33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5"/>
    </row>
    <row r="987" hidden="1">
      <c r="A987" s="133" t="str">
        <f>IFERROR(__xludf.DUMMYFUNCTION("""COMPUTED_VALUE"""),"April'26")</f>
        <v>April'26</v>
      </c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33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5"/>
    </row>
    <row r="988" hidden="1">
      <c r="A988" s="133" t="str">
        <f>IFERROR(__xludf.DUMMYFUNCTION("""COMPUTED_VALUE"""),"April'26")</f>
        <v>April'26</v>
      </c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33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5"/>
    </row>
    <row r="989" hidden="1">
      <c r="A989" s="133" t="str">
        <f>IFERROR(__xludf.DUMMYFUNCTION("""COMPUTED_VALUE"""),"April'26")</f>
        <v>April'26</v>
      </c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33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5"/>
    </row>
    <row r="990" hidden="1">
      <c r="A990" s="133" t="str">
        <f>IFERROR(__xludf.DUMMYFUNCTION("""COMPUTED_VALUE"""),"April'26")</f>
        <v>April'26</v>
      </c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33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5"/>
    </row>
  </sheetData>
  <autoFilter ref="$A$6:$BZ$990">
    <filterColumn colId="1">
      <filters>
        <filter val="Cetaphil - Retail"/>
      </filters>
    </filterColumn>
  </autoFilter>
  <mergeCells count="26">
    <mergeCell ref="AG4:AH4"/>
    <mergeCell ref="AI4:AK4"/>
    <mergeCell ref="AL4:AN4"/>
    <mergeCell ref="AR4:BK4"/>
    <mergeCell ref="BL4:BL5"/>
    <mergeCell ref="BM4:BM5"/>
    <mergeCell ref="AI1:AK1"/>
    <mergeCell ref="O2:AC2"/>
    <mergeCell ref="D4:F4"/>
    <mergeCell ref="G4:K4"/>
    <mergeCell ref="O4:Q4"/>
    <mergeCell ref="R4:AC4"/>
    <mergeCell ref="AD4:AF4"/>
    <mergeCell ref="W28:W31"/>
    <mergeCell ref="W45:W48"/>
    <mergeCell ref="W66:W70"/>
    <mergeCell ref="L52:L53"/>
    <mergeCell ref="L66:L70"/>
    <mergeCell ref="L88:L90"/>
    <mergeCell ref="L12:L13"/>
    <mergeCell ref="W12:W13"/>
    <mergeCell ref="L17:L20"/>
    <mergeCell ref="W17:W20"/>
    <mergeCell ref="G28:G31"/>
    <mergeCell ref="L28:L31"/>
    <mergeCell ref="L45:L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4"/>
      <c r="R1" s="4"/>
      <c r="S1" s="4"/>
      <c r="T1" s="4"/>
      <c r="U1" s="4"/>
      <c r="V1" s="5"/>
      <c r="W1" s="6"/>
      <c r="X1" s="5"/>
      <c r="Y1" s="5"/>
      <c r="Z1" s="5"/>
      <c r="AA1" s="5"/>
      <c r="AB1" s="5"/>
      <c r="AC1" s="5"/>
      <c r="AD1" s="7"/>
      <c r="AE1" s="8"/>
      <c r="AF1" s="9"/>
      <c r="AG1" s="8"/>
      <c r="AH1" s="9"/>
      <c r="AI1" s="10" t="s">
        <v>1</v>
      </c>
      <c r="AJ1" s="11"/>
      <c r="AK1" s="11"/>
      <c r="AL1" s="12" t="s">
        <v>2</v>
      </c>
      <c r="AM1" s="5"/>
      <c r="AN1" s="5"/>
      <c r="AO1" s="5"/>
      <c r="AP1" s="13"/>
      <c r="AQ1" s="5"/>
      <c r="AR1" s="14"/>
      <c r="AS1" s="15" t="s">
        <v>3</v>
      </c>
      <c r="AT1" s="16" t="s">
        <v>4</v>
      </c>
      <c r="AU1" s="17"/>
      <c r="AV1" s="18" t="s">
        <v>5</v>
      </c>
      <c r="AW1" s="19" t="s">
        <v>6</v>
      </c>
      <c r="AX1" s="20" t="s">
        <v>7</v>
      </c>
      <c r="AY1" s="14"/>
      <c r="AZ1" s="14"/>
      <c r="BA1" s="14"/>
      <c r="BB1" s="6"/>
      <c r="BC1" s="5"/>
      <c r="BD1" s="21" t="s">
        <v>8</v>
      </c>
      <c r="BE1" s="370" t="s">
        <v>9</v>
      </c>
      <c r="BF1" s="5"/>
      <c r="BG1" s="21" t="s">
        <v>10</v>
      </c>
      <c r="BH1" s="24"/>
      <c r="BI1" s="24"/>
      <c r="BJ1" s="5"/>
      <c r="BK1" s="5"/>
      <c r="BL1" s="5"/>
      <c r="BM1" s="5"/>
      <c r="BN1" s="5"/>
      <c r="BO1" s="5"/>
      <c r="BP1" s="5"/>
      <c r="BQ1" s="5"/>
      <c r="BR1" s="5"/>
    </row>
    <row r="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6"/>
      <c r="O2" s="27" t="s">
        <v>11</v>
      </c>
      <c r="AC2" s="28"/>
      <c r="AD2" s="29"/>
      <c r="AE2" s="30"/>
      <c r="AF2" s="31"/>
      <c r="AG2" s="29"/>
      <c r="AH2" s="31"/>
      <c r="AI2" s="29"/>
      <c r="AJ2" s="30"/>
      <c r="AK2" s="31"/>
      <c r="AL2" s="30"/>
      <c r="AM2" s="30"/>
      <c r="AN2" s="31"/>
      <c r="AO2" s="30"/>
      <c r="AP2" s="30"/>
      <c r="AQ2" s="31"/>
      <c r="AR2" s="30"/>
      <c r="AS2" s="30"/>
      <c r="AT2" s="30"/>
      <c r="AU2" s="30"/>
      <c r="AV2" s="30"/>
      <c r="AW2" s="30"/>
      <c r="AX2" s="30"/>
      <c r="AY2" s="30"/>
      <c r="AZ2" s="32"/>
      <c r="BA2" s="33" t="s">
        <v>12</v>
      </c>
      <c r="BB2" s="30"/>
      <c r="BC2" s="30"/>
      <c r="BD2" s="30"/>
      <c r="BE2" s="30"/>
      <c r="BF2" s="30"/>
      <c r="BG2" s="30"/>
      <c r="BH2" s="30"/>
      <c r="BI2" s="30"/>
      <c r="BJ2" s="30"/>
      <c r="BK2" s="31"/>
      <c r="BL2" s="2"/>
      <c r="BM2" s="2"/>
      <c r="BN2" s="2"/>
      <c r="BO2" s="2"/>
      <c r="BP2" s="34"/>
      <c r="BQ2" s="34"/>
      <c r="BR2" s="34"/>
    </row>
    <row r="3">
      <c r="A3" s="2"/>
      <c r="B3" s="34"/>
      <c r="C3" s="34"/>
      <c r="D3" s="34"/>
      <c r="E3" s="34"/>
      <c r="F3" s="34"/>
      <c r="G3" s="3"/>
      <c r="H3" s="34"/>
      <c r="I3" s="34"/>
      <c r="J3" s="34"/>
      <c r="K3" s="34"/>
      <c r="L3" s="34"/>
      <c r="M3" s="34"/>
      <c r="N3" s="26"/>
      <c r="O3" s="35" t="s">
        <v>13</v>
      </c>
      <c r="P3" s="35" t="s">
        <v>13</v>
      </c>
      <c r="Q3" s="35" t="s">
        <v>13</v>
      </c>
      <c r="R3" s="36"/>
      <c r="S3" s="35" t="s">
        <v>13</v>
      </c>
      <c r="T3" s="35" t="s">
        <v>13</v>
      </c>
      <c r="U3" s="35" t="s">
        <v>13</v>
      </c>
      <c r="V3" s="35" t="s">
        <v>13</v>
      </c>
      <c r="W3" s="37" t="s">
        <v>13</v>
      </c>
      <c r="X3" s="36"/>
      <c r="Y3" s="36"/>
      <c r="Z3" s="36"/>
      <c r="AA3" s="36"/>
      <c r="AB3" s="36"/>
      <c r="AC3" s="39" t="s">
        <v>13</v>
      </c>
      <c r="AD3" s="40" t="s">
        <v>14</v>
      </c>
      <c r="AE3" s="41" t="s">
        <v>14</v>
      </c>
      <c r="AF3" s="42" t="s">
        <v>14</v>
      </c>
      <c r="AG3" s="40" t="s">
        <v>14</v>
      </c>
      <c r="AH3" s="42" t="s">
        <v>14</v>
      </c>
      <c r="AI3" s="40" t="s">
        <v>14</v>
      </c>
      <c r="AJ3" s="35" t="s">
        <v>13</v>
      </c>
      <c r="AK3" s="42" t="s">
        <v>14</v>
      </c>
      <c r="AL3" s="43" t="s">
        <v>13</v>
      </c>
      <c r="AM3" s="35" t="s">
        <v>13</v>
      </c>
      <c r="AN3" s="39" t="s">
        <v>13</v>
      </c>
      <c r="AO3" s="41" t="s">
        <v>15</v>
      </c>
      <c r="AP3" s="41" t="s">
        <v>15</v>
      </c>
      <c r="AQ3" s="42" t="s">
        <v>15</v>
      </c>
      <c r="AR3" s="41" t="s">
        <v>14</v>
      </c>
      <c r="AS3" s="41" t="s">
        <v>14</v>
      </c>
      <c r="AT3" s="41" t="s">
        <v>14</v>
      </c>
      <c r="AU3" s="41" t="s">
        <v>14</v>
      </c>
      <c r="AV3" s="41" t="s">
        <v>14</v>
      </c>
      <c r="AW3" s="41" t="s">
        <v>14</v>
      </c>
      <c r="AX3" s="41" t="s">
        <v>14</v>
      </c>
      <c r="AY3" s="44" t="s">
        <v>16</v>
      </c>
      <c r="AZ3" s="45" t="s">
        <v>14</v>
      </c>
      <c r="BA3" s="41" t="s">
        <v>14</v>
      </c>
      <c r="BB3" s="41" t="s">
        <v>14</v>
      </c>
      <c r="BC3" s="41" t="s">
        <v>14</v>
      </c>
      <c r="BD3" s="41" t="s">
        <v>14</v>
      </c>
      <c r="BE3" s="41" t="s">
        <v>14</v>
      </c>
      <c r="BF3" s="41" t="s">
        <v>14</v>
      </c>
      <c r="BG3" s="41" t="s">
        <v>14</v>
      </c>
      <c r="BH3" s="46"/>
      <c r="BI3" s="41" t="s">
        <v>14</v>
      </c>
      <c r="BJ3" s="44" t="s">
        <v>16</v>
      </c>
      <c r="BK3" s="42" t="s">
        <v>14</v>
      </c>
      <c r="BL3" s="42" t="s">
        <v>14</v>
      </c>
      <c r="BM3" s="39" t="s">
        <v>13</v>
      </c>
      <c r="BN3" s="2"/>
      <c r="BO3" s="2"/>
      <c r="BP3" s="34"/>
      <c r="BQ3" s="2"/>
      <c r="BR3" s="2"/>
    </row>
    <row r="4">
      <c r="A4" s="47"/>
      <c r="B4" s="48"/>
      <c r="C4" s="49"/>
      <c r="D4" s="50" t="s">
        <v>17</v>
      </c>
      <c r="E4" s="51"/>
      <c r="F4" s="52"/>
      <c r="G4" s="50" t="s">
        <v>18</v>
      </c>
      <c r="H4" s="51"/>
      <c r="I4" s="51"/>
      <c r="J4" s="51"/>
      <c r="K4" s="52"/>
      <c r="L4" s="48"/>
      <c r="M4" s="48"/>
      <c r="N4" s="53"/>
      <c r="O4" s="54" t="s">
        <v>19</v>
      </c>
      <c r="P4" s="51"/>
      <c r="Q4" s="52"/>
      <c r="R4" s="55" t="s">
        <v>20</v>
      </c>
      <c r="S4" s="56"/>
      <c r="T4" s="56"/>
      <c r="U4" s="56"/>
      <c r="V4" s="56"/>
      <c r="W4" s="56"/>
      <c r="X4" s="56"/>
      <c r="Y4" s="56"/>
      <c r="Z4" s="56"/>
      <c r="AA4" s="56"/>
      <c r="AB4" s="56"/>
      <c r="AC4" s="57"/>
      <c r="AD4" s="58" t="s">
        <v>21</v>
      </c>
      <c r="AE4" s="51"/>
      <c r="AF4" s="52"/>
      <c r="AG4" s="59" t="s">
        <v>22</v>
      </c>
      <c r="AH4" s="51"/>
      <c r="AI4" s="60" t="s">
        <v>23</v>
      </c>
      <c r="AJ4" s="11"/>
      <c r="AK4" s="61"/>
      <c r="AL4" s="62" t="s">
        <v>24</v>
      </c>
      <c r="AN4" s="28"/>
      <c r="AO4" s="63" t="s">
        <v>25</v>
      </c>
      <c r="AP4" s="63" t="s">
        <v>25</v>
      </c>
      <c r="AQ4" s="64" t="s">
        <v>26</v>
      </c>
      <c r="AR4" s="65" t="s">
        <v>27</v>
      </c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  <c r="BL4" s="68" t="s">
        <v>28</v>
      </c>
      <c r="BM4" s="69" t="s">
        <v>29</v>
      </c>
      <c r="BN4" s="70" t="s">
        <v>30</v>
      </c>
      <c r="BO4" s="71"/>
      <c r="BP4" s="34"/>
      <c r="BQ4" s="34"/>
      <c r="BR4" s="34"/>
    </row>
    <row r="5">
      <c r="A5" s="72" t="s">
        <v>31</v>
      </c>
      <c r="B5" s="73" t="s">
        <v>32</v>
      </c>
      <c r="C5" s="74" t="s">
        <v>33</v>
      </c>
      <c r="D5" s="75" t="s">
        <v>34</v>
      </c>
      <c r="E5" s="76" t="s">
        <v>35</v>
      </c>
      <c r="F5" s="77" t="s">
        <v>36</v>
      </c>
      <c r="G5" s="371" t="s">
        <v>37</v>
      </c>
      <c r="H5" s="79" t="s">
        <v>38</v>
      </c>
      <c r="I5" s="79" t="s">
        <v>39</v>
      </c>
      <c r="J5" s="79" t="s">
        <v>40</v>
      </c>
      <c r="K5" s="77" t="s">
        <v>41</v>
      </c>
      <c r="L5" s="79" t="s">
        <v>42</v>
      </c>
      <c r="M5" s="79" t="s">
        <v>43</v>
      </c>
      <c r="N5" s="80" t="s">
        <v>44</v>
      </c>
      <c r="O5" s="80" t="s">
        <v>45</v>
      </c>
      <c r="P5" s="81" t="s">
        <v>46</v>
      </c>
      <c r="Q5" s="82" t="s">
        <v>47</v>
      </c>
      <c r="R5" s="83" t="s">
        <v>48</v>
      </c>
      <c r="S5" s="83" t="s">
        <v>49</v>
      </c>
      <c r="T5" s="83" t="s">
        <v>50</v>
      </c>
      <c r="U5" s="84" t="s">
        <v>51</v>
      </c>
      <c r="V5" s="83" t="s">
        <v>52</v>
      </c>
      <c r="W5" s="85" t="s">
        <v>53</v>
      </c>
      <c r="X5" s="86" t="s">
        <v>54</v>
      </c>
      <c r="Y5" s="87" t="s">
        <v>55</v>
      </c>
      <c r="Z5" s="88" t="s">
        <v>56</v>
      </c>
      <c r="AA5" s="89" t="s">
        <v>57</v>
      </c>
      <c r="AB5" s="372" t="s">
        <v>58</v>
      </c>
      <c r="AC5" s="91" t="s">
        <v>59</v>
      </c>
      <c r="AD5" s="92" t="s">
        <v>60</v>
      </c>
      <c r="AE5" s="93" t="s">
        <v>61</v>
      </c>
      <c r="AF5" s="94" t="s">
        <v>62</v>
      </c>
      <c r="AG5" s="95" t="s">
        <v>63</v>
      </c>
      <c r="AH5" s="96" t="s">
        <v>64</v>
      </c>
      <c r="AI5" s="97" t="s">
        <v>65</v>
      </c>
      <c r="AJ5" s="98" t="s">
        <v>66</v>
      </c>
      <c r="AK5" s="96" t="s">
        <v>64</v>
      </c>
      <c r="AL5" s="99" t="s">
        <v>67</v>
      </c>
      <c r="AM5" s="100" t="s">
        <v>68</v>
      </c>
      <c r="AN5" s="101" t="s">
        <v>69</v>
      </c>
      <c r="AO5" s="102" t="s">
        <v>70</v>
      </c>
      <c r="AP5" s="103" t="s">
        <v>71</v>
      </c>
      <c r="AQ5" s="104" t="s">
        <v>72</v>
      </c>
      <c r="AR5" s="105" t="s">
        <v>73</v>
      </c>
      <c r="AS5" s="105" t="s">
        <v>74</v>
      </c>
      <c r="AT5" s="105" t="s">
        <v>75</v>
      </c>
      <c r="AU5" s="105" t="s">
        <v>72</v>
      </c>
      <c r="AV5" s="106" t="s">
        <v>76</v>
      </c>
      <c r="AW5" s="373" t="s">
        <v>77</v>
      </c>
      <c r="AX5" s="102" t="s">
        <v>70</v>
      </c>
      <c r="AY5" s="108" t="s">
        <v>66</v>
      </c>
      <c r="AZ5" s="374" t="s">
        <v>78</v>
      </c>
      <c r="BA5" s="110" t="s">
        <v>79</v>
      </c>
      <c r="BB5" s="111" t="s">
        <v>80</v>
      </c>
      <c r="BC5" s="112" t="s">
        <v>81</v>
      </c>
      <c r="BD5" s="112" t="s">
        <v>82</v>
      </c>
      <c r="BE5" s="113" t="s">
        <v>83</v>
      </c>
      <c r="BF5" s="114" t="s">
        <v>84</v>
      </c>
      <c r="BG5" s="114" t="s">
        <v>85</v>
      </c>
      <c r="BH5" s="114" t="s">
        <v>86</v>
      </c>
      <c r="BI5" s="114" t="s">
        <v>87</v>
      </c>
      <c r="BJ5" s="115" t="s">
        <v>88</v>
      </c>
      <c r="BK5" s="375" t="s">
        <v>89</v>
      </c>
      <c r="BL5" s="117"/>
      <c r="BN5" s="118" t="s">
        <v>7</v>
      </c>
      <c r="BO5" s="2"/>
      <c r="BP5" s="34"/>
      <c r="BQ5" s="34"/>
      <c r="BR5" s="34"/>
    </row>
    <row r="6">
      <c r="A6" s="376" t="s">
        <v>90</v>
      </c>
      <c r="B6" s="120"/>
      <c r="C6" s="121"/>
      <c r="D6" s="122"/>
      <c r="E6" s="123"/>
      <c r="F6" s="124"/>
      <c r="G6" s="125"/>
      <c r="H6" s="120"/>
      <c r="I6" s="120"/>
      <c r="J6" s="120"/>
      <c r="K6" s="124"/>
      <c r="L6" s="120"/>
      <c r="M6" s="120"/>
      <c r="N6" s="126"/>
      <c r="O6" s="126"/>
      <c r="P6" s="127"/>
      <c r="Q6" s="128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8"/>
      <c r="AD6" s="126"/>
      <c r="AE6" s="127"/>
      <c r="AF6" s="128"/>
      <c r="AG6" s="126"/>
      <c r="AH6" s="128"/>
      <c r="AI6" s="126"/>
      <c r="AJ6" s="129"/>
      <c r="AK6" s="128"/>
      <c r="AL6" s="126"/>
      <c r="AM6" s="127"/>
      <c r="AN6" s="128"/>
      <c r="AO6" s="127"/>
      <c r="AP6" s="129"/>
      <c r="AQ6" s="128"/>
      <c r="AR6" s="127"/>
      <c r="AS6" s="127"/>
      <c r="AT6" s="127"/>
      <c r="AU6" s="127"/>
      <c r="AV6" s="127"/>
      <c r="AW6" s="127"/>
      <c r="AX6" s="129"/>
      <c r="AY6" s="129"/>
      <c r="AZ6" s="130"/>
      <c r="BA6" s="131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32"/>
      <c r="BM6" s="129"/>
      <c r="BN6" s="2"/>
      <c r="BO6" s="2"/>
      <c r="BP6" s="133"/>
      <c r="BQ6" s="133"/>
      <c r="BR6" s="133"/>
    </row>
    <row r="7">
      <c r="A7" s="377" t="s">
        <v>91</v>
      </c>
      <c r="B7" s="135"/>
      <c r="C7" s="136"/>
      <c r="D7" s="137"/>
      <c r="E7" s="138"/>
      <c r="F7" s="139"/>
      <c r="G7" s="140"/>
      <c r="H7" s="141"/>
      <c r="I7" s="141"/>
      <c r="J7" s="141"/>
      <c r="K7" s="142"/>
      <c r="L7" s="141"/>
      <c r="M7" s="141"/>
      <c r="N7" s="143"/>
      <c r="O7" s="144"/>
      <c r="P7" s="141"/>
      <c r="Q7" s="142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6"/>
      <c r="AD7" s="143"/>
      <c r="AE7" s="145"/>
      <c r="AF7" s="146"/>
      <c r="AG7" s="143"/>
      <c r="AH7" s="146"/>
      <c r="AI7" s="144"/>
      <c r="AJ7" s="141"/>
      <c r="AK7" s="142"/>
      <c r="AL7" s="143"/>
      <c r="AM7" s="145"/>
      <c r="AN7" s="146"/>
      <c r="AO7" s="145"/>
      <c r="AP7" s="145"/>
      <c r="AQ7" s="146"/>
      <c r="AR7" s="145"/>
      <c r="AS7" s="145"/>
      <c r="AT7" s="145"/>
      <c r="AU7" s="147"/>
      <c r="AV7" s="145"/>
      <c r="AW7" s="145"/>
      <c r="AX7" s="147"/>
      <c r="AY7" s="145"/>
      <c r="AZ7" s="148"/>
      <c r="BA7" s="149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50"/>
      <c r="BM7" s="147"/>
      <c r="BN7" s="2"/>
      <c r="BO7" s="2"/>
      <c r="BP7" s="133"/>
      <c r="BQ7" s="133"/>
      <c r="BR7" s="133"/>
    </row>
    <row r="8">
      <c r="A8" s="179" t="s">
        <v>92</v>
      </c>
      <c r="B8" s="152" t="s">
        <v>93</v>
      </c>
      <c r="C8" s="153" t="s">
        <v>94</v>
      </c>
      <c r="D8" s="154" t="s">
        <v>95</v>
      </c>
      <c r="E8" s="155" t="s">
        <v>96</v>
      </c>
      <c r="F8" s="156" t="s">
        <v>97</v>
      </c>
      <c r="G8" s="157">
        <v>0.0</v>
      </c>
      <c r="H8" s="157">
        <v>0.0</v>
      </c>
      <c r="I8" s="157">
        <v>0.0</v>
      </c>
      <c r="J8" s="157">
        <v>0.0</v>
      </c>
      <c r="K8" s="158">
        <v>0.0</v>
      </c>
      <c r="L8" s="159">
        <v>25000.0</v>
      </c>
      <c r="M8" s="34"/>
      <c r="N8" s="160"/>
      <c r="O8" s="161">
        <f t="shared" ref="O8:O10" si="1">W8+S8+T8+V8+U8</f>
        <v>648665.03</v>
      </c>
      <c r="P8" s="162">
        <f t="shared" ref="P8:P15" si="2">O8*7%</f>
        <v>45406.5521</v>
      </c>
      <c r="Q8" s="163">
        <f t="shared" ref="Q8:Q32" si="3">O8+P8</f>
        <v>694071.5821</v>
      </c>
      <c r="R8" s="164">
        <f t="shared" ref="R8:R11" si="4">SUM(AD8:AF8)*M8</f>
        <v>0</v>
      </c>
      <c r="S8" s="164">
        <f t="shared" ref="S8:S32" si="5">SUM(AD8:AF8)</f>
        <v>0</v>
      </c>
      <c r="T8" s="164">
        <f t="shared" ref="T8:T32" si="6">SUM(AG8:AH8)</f>
        <v>0</v>
      </c>
      <c r="U8" s="164">
        <f t="shared" ref="U8:U10" si="7">SUM(AI8:AK8)</f>
        <v>381000</v>
      </c>
      <c r="V8" s="164">
        <f>SUM(AL8:AP8)</f>
        <v>242665.03</v>
      </c>
      <c r="W8" s="164">
        <f t="shared" ref="W8:W11" si="8">ifs((AC8*G8)&gt;L8,AC8*G8,AC8=0,"0",(AC8*G8)&lt;=L8,L8)</f>
        <v>25000</v>
      </c>
      <c r="X8" s="165">
        <f t="shared" ref="X8:X32" si="9">SUM(AR8:AU8)</f>
        <v>476853.6</v>
      </c>
      <c r="Y8" s="165">
        <f t="shared" ref="Y8:Y32" si="10">SUM(AV8:AZ8)</f>
        <v>75200.58</v>
      </c>
      <c r="Z8" s="165">
        <f t="shared" ref="Z8:Z32" si="11">SUM(BF8:BH8)</f>
        <v>0</v>
      </c>
      <c r="AA8" s="165">
        <f t="shared" ref="AA8:AA32" si="12">sum(BA8:BD8)</f>
        <v>0</v>
      </c>
      <c r="AB8" s="165">
        <f t="shared" ref="AB8:AB32" si="13">sum(BK8)</f>
        <v>0</v>
      </c>
      <c r="AC8" s="166">
        <f t="shared" ref="AC8:AC16" si="14">sum(AR8:BK8)</f>
        <v>698205.67</v>
      </c>
      <c r="AD8" s="167"/>
      <c r="AE8" s="17"/>
      <c r="AF8" s="168"/>
      <c r="AG8" s="167"/>
      <c r="AH8" s="168"/>
      <c r="AI8" s="169">
        <v>46000.0</v>
      </c>
      <c r="AJ8" s="133"/>
      <c r="AK8" s="170">
        <v>335000.0</v>
      </c>
      <c r="AL8" s="167"/>
      <c r="AM8" s="171">
        <f t="shared" ref="AM8:AM11" si="15">SUM(BF8:BG8)</f>
        <v>0</v>
      </c>
      <c r="AN8" s="168"/>
      <c r="AO8" s="171">
        <v>51229.84</v>
      </c>
      <c r="AP8" s="171">
        <v>191435.19</v>
      </c>
      <c r="AQ8" s="172"/>
      <c r="AR8" s="173">
        <v>550.0</v>
      </c>
      <c r="AS8" s="173">
        <v>335043.6</v>
      </c>
      <c r="AT8" s="174">
        <v>0.0</v>
      </c>
      <c r="AU8" s="175">
        <v>141260.0</v>
      </c>
      <c r="AV8" s="175">
        <v>42882.92</v>
      </c>
      <c r="AW8" s="175">
        <v>4978.54</v>
      </c>
      <c r="AX8" s="175">
        <v>27339.12</v>
      </c>
      <c r="AY8" s="17"/>
      <c r="AZ8" s="176"/>
      <c r="BA8" s="177"/>
      <c r="BB8" s="17"/>
      <c r="BC8" s="17"/>
      <c r="BD8" s="17"/>
      <c r="BE8" s="17"/>
      <c r="BF8" s="178">
        <v>0.0</v>
      </c>
      <c r="BG8" s="178">
        <v>0.0</v>
      </c>
      <c r="BH8" s="17"/>
      <c r="BI8" s="173">
        <v>146151.49</v>
      </c>
      <c r="BJ8" s="17"/>
      <c r="BK8" s="17"/>
      <c r="BL8" s="179" t="s">
        <v>98</v>
      </c>
      <c r="BM8" s="180" t="str">
        <f t="shared" ref="BM8:BM17" si="16">IFS(BL8="","",BM8&lt;&gt;"",BM8,1*1,NOW())</f>
        <v>#REF!</v>
      </c>
      <c r="BN8" s="2"/>
      <c r="BO8" s="2"/>
      <c r="BP8" s="133"/>
      <c r="BQ8" s="133"/>
      <c r="BR8" s="133"/>
    </row>
    <row r="9">
      <c r="A9" s="179" t="s">
        <v>99</v>
      </c>
      <c r="B9" s="152" t="s">
        <v>100</v>
      </c>
      <c r="C9" s="153" t="s">
        <v>94</v>
      </c>
      <c r="D9" s="182" t="s">
        <v>101</v>
      </c>
      <c r="E9" s="155" t="s">
        <v>102</v>
      </c>
      <c r="F9" s="183" t="s">
        <v>103</v>
      </c>
      <c r="G9" s="157">
        <v>0.15</v>
      </c>
      <c r="H9" s="157">
        <v>0.0</v>
      </c>
      <c r="I9" s="157">
        <v>0.0</v>
      </c>
      <c r="J9" s="157">
        <v>0.0</v>
      </c>
      <c r="K9" s="158">
        <v>0.0</v>
      </c>
      <c r="L9" s="239">
        <v>0.0</v>
      </c>
      <c r="M9" s="3"/>
      <c r="N9" s="160"/>
      <c r="O9" s="184">
        <f t="shared" si="1"/>
        <v>16185.8605</v>
      </c>
      <c r="P9" s="164">
        <f t="shared" si="2"/>
        <v>1133.010235</v>
      </c>
      <c r="Q9" s="166">
        <f t="shared" si="3"/>
        <v>17318.87074</v>
      </c>
      <c r="R9" s="164">
        <f t="shared" si="4"/>
        <v>0</v>
      </c>
      <c r="S9" s="164">
        <f t="shared" si="5"/>
        <v>0</v>
      </c>
      <c r="T9" s="164">
        <f t="shared" si="6"/>
        <v>0</v>
      </c>
      <c r="U9" s="164">
        <f t="shared" si="7"/>
        <v>0</v>
      </c>
      <c r="V9" s="164">
        <f t="shared" ref="V9:V13" si="17">SUM(AL9:AQ9)</f>
        <v>8887.75</v>
      </c>
      <c r="W9" s="164">
        <f t="shared" si="8"/>
        <v>7298.1105</v>
      </c>
      <c r="X9" s="165">
        <f t="shared" si="9"/>
        <v>46540.75</v>
      </c>
      <c r="Y9" s="165">
        <f t="shared" si="10"/>
        <v>2113.32</v>
      </c>
      <c r="Z9" s="165">
        <f t="shared" si="11"/>
        <v>0</v>
      </c>
      <c r="AA9" s="165">
        <f t="shared" si="12"/>
        <v>0</v>
      </c>
      <c r="AB9" s="165">
        <f t="shared" si="13"/>
        <v>0</v>
      </c>
      <c r="AC9" s="166">
        <f t="shared" si="14"/>
        <v>48654.07</v>
      </c>
      <c r="AD9" s="167"/>
      <c r="AE9" s="17"/>
      <c r="AF9" s="168"/>
      <c r="AG9" s="169">
        <v>0.0</v>
      </c>
      <c r="AH9" s="170">
        <v>0.0</v>
      </c>
      <c r="AI9" s="169">
        <v>0.0</v>
      </c>
      <c r="AJ9" s="133"/>
      <c r="AK9" s="170">
        <v>0.0</v>
      </c>
      <c r="AL9" s="185">
        <f>SUM(BA9:BD9)</f>
        <v>0</v>
      </c>
      <c r="AM9" s="171">
        <f t="shared" si="15"/>
        <v>0</v>
      </c>
      <c r="AN9" s="168"/>
      <c r="AO9" s="133"/>
      <c r="AP9" s="17"/>
      <c r="AQ9" s="186">
        <f>AU9</f>
        <v>8887.75</v>
      </c>
      <c r="AR9" s="17"/>
      <c r="AS9" s="173">
        <v>37653.0</v>
      </c>
      <c r="AT9" s="17"/>
      <c r="AU9" s="173">
        <v>8887.75</v>
      </c>
      <c r="AV9" s="173">
        <v>2113.32</v>
      </c>
      <c r="AW9" s="17"/>
      <c r="AX9" s="178">
        <v>0.0</v>
      </c>
      <c r="AY9" s="17"/>
      <c r="AZ9" s="176"/>
      <c r="BA9" s="17"/>
      <c r="BB9" s="178">
        <v>0.0</v>
      </c>
      <c r="BC9" s="187"/>
      <c r="BD9" s="17"/>
      <c r="BE9" s="17"/>
      <c r="BF9" s="17"/>
      <c r="BG9" s="17"/>
      <c r="BH9" s="17"/>
      <c r="BI9" s="17"/>
      <c r="BJ9" s="17"/>
      <c r="BK9" s="17"/>
      <c r="BL9" s="151" t="s">
        <v>98</v>
      </c>
      <c r="BM9" s="180" t="str">
        <f t="shared" si="16"/>
        <v>#REF!</v>
      </c>
      <c r="BN9" s="133"/>
      <c r="BO9" s="133"/>
      <c r="BP9" s="133"/>
      <c r="BQ9" s="133"/>
      <c r="BR9" s="133"/>
    </row>
    <row r="10">
      <c r="A10" s="179" t="s">
        <v>104</v>
      </c>
      <c r="B10" s="152" t="s">
        <v>100</v>
      </c>
      <c r="C10" s="153" t="s">
        <v>94</v>
      </c>
      <c r="D10" s="182" t="s">
        <v>101</v>
      </c>
      <c r="E10" s="155" t="s">
        <v>102</v>
      </c>
      <c r="F10" s="183" t="s">
        <v>103</v>
      </c>
      <c r="G10" s="157">
        <v>0.15</v>
      </c>
      <c r="H10" s="157">
        <v>0.0</v>
      </c>
      <c r="I10" s="157">
        <v>0.0</v>
      </c>
      <c r="J10" s="157">
        <v>0.0</v>
      </c>
      <c r="K10" s="158">
        <v>0.0</v>
      </c>
      <c r="L10" s="239">
        <v>0.0</v>
      </c>
      <c r="M10" s="3"/>
      <c r="N10" s="160"/>
      <c r="O10" s="184">
        <f t="shared" si="1"/>
        <v>14918.8245</v>
      </c>
      <c r="P10" s="164">
        <f t="shared" si="2"/>
        <v>1044.317715</v>
      </c>
      <c r="Q10" s="166">
        <f t="shared" si="3"/>
        <v>15963.14222</v>
      </c>
      <c r="R10" s="164">
        <f t="shared" si="4"/>
        <v>0</v>
      </c>
      <c r="S10" s="164">
        <f t="shared" si="5"/>
        <v>0</v>
      </c>
      <c r="T10" s="164">
        <f t="shared" si="6"/>
        <v>0</v>
      </c>
      <c r="U10" s="164">
        <f t="shared" si="7"/>
        <v>0</v>
      </c>
      <c r="V10" s="164">
        <f t="shared" si="17"/>
        <v>12926.25</v>
      </c>
      <c r="W10" s="164">
        <f t="shared" si="8"/>
        <v>1992.5745</v>
      </c>
      <c r="X10" s="165">
        <f t="shared" si="9"/>
        <v>0</v>
      </c>
      <c r="Y10" s="165">
        <f t="shared" si="10"/>
        <v>0</v>
      </c>
      <c r="Z10" s="165">
        <f t="shared" si="11"/>
        <v>4115.11</v>
      </c>
      <c r="AA10" s="165">
        <f t="shared" si="12"/>
        <v>0</v>
      </c>
      <c r="AB10" s="165">
        <f t="shared" si="13"/>
        <v>0</v>
      </c>
      <c r="AC10" s="166">
        <f t="shared" si="14"/>
        <v>13283.83</v>
      </c>
      <c r="AD10" s="167"/>
      <c r="AE10" s="17"/>
      <c r="AF10" s="168"/>
      <c r="AG10" s="167"/>
      <c r="AH10" s="168"/>
      <c r="AI10" s="167"/>
      <c r="AJ10" s="17"/>
      <c r="AK10" s="168"/>
      <c r="AL10" s="167"/>
      <c r="AM10" s="171">
        <f t="shared" si="15"/>
        <v>4115.11</v>
      </c>
      <c r="AN10" s="168"/>
      <c r="AO10" s="17"/>
      <c r="AP10" s="171">
        <v>8811.14</v>
      </c>
      <c r="AQ10" s="168"/>
      <c r="AR10" s="17"/>
      <c r="AS10" s="17"/>
      <c r="AT10" s="17"/>
      <c r="AU10" s="17"/>
      <c r="AV10" s="17"/>
      <c r="AW10" s="17"/>
      <c r="AX10" s="17"/>
      <c r="AY10" s="17"/>
      <c r="AZ10" s="176"/>
      <c r="BA10" s="17"/>
      <c r="BB10" s="17"/>
      <c r="BC10" s="187"/>
      <c r="BD10" s="17"/>
      <c r="BE10" s="17"/>
      <c r="BF10" s="173">
        <f>4115.11</f>
        <v>4115.11</v>
      </c>
      <c r="BG10" s="17"/>
      <c r="BH10" s="17"/>
      <c r="BI10" s="173">
        <v>9168.72</v>
      </c>
      <c r="BJ10" s="17"/>
      <c r="BK10" s="17"/>
      <c r="BL10" s="151" t="s">
        <v>98</v>
      </c>
      <c r="BM10" s="180" t="str">
        <f t="shared" si="16"/>
        <v>#REF!</v>
      </c>
      <c r="BN10" s="133"/>
      <c r="BO10" s="133"/>
      <c r="BP10" s="133"/>
      <c r="BQ10" s="133"/>
      <c r="BR10" s="133"/>
    </row>
    <row r="11">
      <c r="A11" s="179" t="s">
        <v>105</v>
      </c>
      <c r="B11" s="188" t="s">
        <v>106</v>
      </c>
      <c r="C11" s="153" t="s">
        <v>94</v>
      </c>
      <c r="D11" s="182" t="s">
        <v>107</v>
      </c>
      <c r="E11" s="189" t="s">
        <v>108</v>
      </c>
      <c r="F11" s="156" t="s">
        <v>109</v>
      </c>
      <c r="G11" s="157">
        <v>0.13</v>
      </c>
      <c r="H11" s="157">
        <v>0.0</v>
      </c>
      <c r="I11" s="157">
        <v>0.0</v>
      </c>
      <c r="J11" s="157">
        <v>0.0</v>
      </c>
      <c r="K11" s="158">
        <v>0.0</v>
      </c>
      <c r="L11" s="159">
        <v>25000.0</v>
      </c>
      <c r="M11" s="3"/>
      <c r="N11" s="160"/>
      <c r="O11" s="184">
        <f>sum(S11:W11)</f>
        <v>370358.0191</v>
      </c>
      <c r="P11" s="164">
        <f t="shared" si="2"/>
        <v>25925.06134</v>
      </c>
      <c r="Q11" s="166">
        <f t="shared" si="3"/>
        <v>396283.0804</v>
      </c>
      <c r="R11" s="164">
        <f t="shared" si="4"/>
        <v>0</v>
      </c>
      <c r="S11" s="164">
        <f t="shared" si="5"/>
        <v>0</v>
      </c>
      <c r="T11" s="164">
        <f t="shared" si="6"/>
        <v>0</v>
      </c>
      <c r="U11" s="164">
        <f>SUM(AI11,AK11)</f>
        <v>238500</v>
      </c>
      <c r="V11" s="164">
        <f t="shared" si="17"/>
        <v>101917.97</v>
      </c>
      <c r="W11" s="164">
        <f t="shared" si="8"/>
        <v>29940.0491</v>
      </c>
      <c r="X11" s="165">
        <f t="shared" si="9"/>
        <v>145608.79</v>
      </c>
      <c r="Y11" s="165">
        <f t="shared" si="10"/>
        <v>45494.87</v>
      </c>
      <c r="Z11" s="165">
        <f t="shared" si="11"/>
        <v>22864.76</v>
      </c>
      <c r="AA11" s="165">
        <f t="shared" si="12"/>
        <v>0</v>
      </c>
      <c r="AB11" s="165">
        <f t="shared" si="13"/>
        <v>0</v>
      </c>
      <c r="AC11" s="166">
        <f t="shared" si="14"/>
        <v>230308.07</v>
      </c>
      <c r="AD11" s="167"/>
      <c r="AE11" s="17"/>
      <c r="AF11" s="168"/>
      <c r="AG11" s="167"/>
      <c r="AH11" s="17"/>
      <c r="AI11" s="169">
        <v>47500.0</v>
      </c>
      <c r="AJ11" s="17"/>
      <c r="AK11" s="170">
        <v>191000.0</v>
      </c>
      <c r="AL11" s="167"/>
      <c r="AM11" s="171">
        <f t="shared" si="15"/>
        <v>22349.11</v>
      </c>
      <c r="AN11" s="168"/>
      <c r="AO11" s="171">
        <v>3021.67</v>
      </c>
      <c r="AP11" s="171">
        <v>12386.13</v>
      </c>
      <c r="AQ11" s="186">
        <v>64161.06</v>
      </c>
      <c r="AR11" s="17"/>
      <c r="AS11" s="173">
        <v>81447.73</v>
      </c>
      <c r="AT11" s="17"/>
      <c r="AU11" s="173">
        <v>64161.06</v>
      </c>
      <c r="AV11" s="173">
        <f>11235.5+13773.12</f>
        <v>25008.62</v>
      </c>
      <c r="AW11" s="173">
        <v>16926.94</v>
      </c>
      <c r="AX11" s="173">
        <v>3559.31</v>
      </c>
      <c r="AY11" s="17"/>
      <c r="AZ11" s="176"/>
      <c r="BA11" s="17"/>
      <c r="BB11" s="17"/>
      <c r="BC11" s="187"/>
      <c r="BD11" s="17"/>
      <c r="BE11" s="17"/>
      <c r="BF11" s="173">
        <f>18919.99+3429.12</f>
        <v>22349.11</v>
      </c>
      <c r="BG11" s="17"/>
      <c r="BH11" s="173">
        <v>515.65</v>
      </c>
      <c r="BI11" s="173">
        <v>16339.65</v>
      </c>
      <c r="BJ11" s="17"/>
      <c r="BK11" s="17"/>
      <c r="BL11" s="151" t="s">
        <v>98</v>
      </c>
      <c r="BM11" s="180" t="str">
        <f t="shared" si="16"/>
        <v>#REF!</v>
      </c>
      <c r="BN11" s="133"/>
      <c r="BO11" s="133"/>
      <c r="BP11" s="133"/>
      <c r="BQ11" s="133"/>
      <c r="BR11" s="133"/>
    </row>
    <row r="12">
      <c r="A12" s="179" t="s">
        <v>110</v>
      </c>
      <c r="B12" s="188" t="s">
        <v>111</v>
      </c>
      <c r="C12" s="190" t="s">
        <v>112</v>
      </c>
      <c r="D12" s="191" t="s">
        <v>113</v>
      </c>
      <c r="E12" s="189" t="s">
        <v>114</v>
      </c>
      <c r="F12" s="156" t="s">
        <v>115</v>
      </c>
      <c r="G12" s="157">
        <v>0.0</v>
      </c>
      <c r="H12" s="157">
        <v>0.0</v>
      </c>
      <c r="I12" s="157">
        <v>0.0</v>
      </c>
      <c r="J12" s="157">
        <v>0.0</v>
      </c>
      <c r="K12" s="158">
        <v>0.0</v>
      </c>
      <c r="L12" s="159">
        <v>275000.0</v>
      </c>
      <c r="M12" s="157">
        <v>0.02</v>
      </c>
      <c r="N12" s="195"/>
      <c r="O12" s="185">
        <f>T12+U12+V12</f>
        <v>1665773.82</v>
      </c>
      <c r="P12" s="164">
        <f t="shared" si="2"/>
        <v>116604.1674</v>
      </c>
      <c r="Q12" s="186">
        <f t="shared" si="3"/>
        <v>1782377.988</v>
      </c>
      <c r="R12" s="171">
        <f t="shared" ref="R12:R13" si="18">SUM(S12:V12)*M12</f>
        <v>33315.4764</v>
      </c>
      <c r="S12" s="171">
        <f t="shared" si="5"/>
        <v>0</v>
      </c>
      <c r="T12" s="171">
        <f t="shared" si="6"/>
        <v>0</v>
      </c>
      <c r="U12" s="171">
        <f t="shared" ref="U12:U32" si="19">SUM(AI12:AK12)</f>
        <v>0</v>
      </c>
      <c r="V12" s="171">
        <f t="shared" si="17"/>
        <v>1665773.82</v>
      </c>
      <c r="W12" s="171">
        <f>ifs(((AC12+AC13)*G12)&gt;L12,(AC12+AC13)*G12,AC12=0,"0",((AC12+AC13)*G12)&lt;=L12,L12)</f>
        <v>275000</v>
      </c>
      <c r="X12" s="165">
        <f t="shared" si="9"/>
        <v>1393934.06</v>
      </c>
      <c r="Y12" s="165">
        <f t="shared" si="10"/>
        <v>417987.35</v>
      </c>
      <c r="Z12" s="165">
        <f t="shared" si="11"/>
        <v>1481138.87</v>
      </c>
      <c r="AA12" s="165">
        <f t="shared" si="12"/>
        <v>0</v>
      </c>
      <c r="AB12" s="165">
        <f t="shared" si="13"/>
        <v>0</v>
      </c>
      <c r="AC12" s="186">
        <f t="shared" si="14"/>
        <v>5071797.93</v>
      </c>
      <c r="AD12" s="167"/>
      <c r="AE12" s="17"/>
      <c r="AF12" s="168"/>
      <c r="AG12" s="160"/>
      <c r="AH12" s="193"/>
      <c r="AI12" s="167"/>
      <c r="AJ12" s="133"/>
      <c r="AK12" s="172"/>
      <c r="AL12" s="167"/>
      <c r="AM12" s="171">
        <f>1273586.75+278387.91-BF13</f>
        <v>1476986.68</v>
      </c>
      <c r="AN12" s="168"/>
      <c r="AO12" s="171">
        <f>202002.24/1.07</f>
        <v>188787.1402</v>
      </c>
      <c r="AP12" s="17"/>
      <c r="AQ12" s="172"/>
      <c r="AR12" s="173">
        <f>79999.99+20004.59</f>
        <v>100004.58</v>
      </c>
      <c r="AS12" s="173">
        <v>571693.85</v>
      </c>
      <c r="AT12" s="173">
        <v>5605.29</v>
      </c>
      <c r="AU12" s="173">
        <v>716630.34</v>
      </c>
      <c r="AV12" s="173">
        <v>66062.24</v>
      </c>
      <c r="AW12" s="173">
        <v>220680.51</v>
      </c>
      <c r="AX12" s="173">
        <v>131244.6</v>
      </c>
      <c r="AY12" s="17"/>
      <c r="AZ12" s="176"/>
      <c r="BA12" s="17"/>
      <c r="BB12" s="17"/>
      <c r="BC12" s="187"/>
      <c r="BD12" s="17"/>
      <c r="BE12" s="17"/>
      <c r="BF12" s="173">
        <f>1273586.75+278387.91-BF13</f>
        <v>1476986.68</v>
      </c>
      <c r="BG12" s="230"/>
      <c r="BH12" s="173">
        <v>4152.19</v>
      </c>
      <c r="BI12" s="173">
        <v>1778737.65</v>
      </c>
      <c r="BJ12" s="17"/>
      <c r="BK12" s="17"/>
      <c r="BL12" s="160"/>
      <c r="BM12" s="181" t="str">
        <f t="shared" si="16"/>
        <v/>
      </c>
      <c r="BN12" s="133"/>
      <c r="BO12" s="133"/>
      <c r="BP12" s="133"/>
      <c r="BQ12" s="133"/>
      <c r="BR12" s="133"/>
    </row>
    <row r="13">
      <c r="A13" s="179" t="s">
        <v>116</v>
      </c>
      <c r="B13" s="188" t="s">
        <v>111</v>
      </c>
      <c r="C13" s="190" t="s">
        <v>112</v>
      </c>
      <c r="D13" s="191" t="s">
        <v>113</v>
      </c>
      <c r="E13" s="189" t="s">
        <v>114</v>
      </c>
      <c r="F13" s="156" t="s">
        <v>115</v>
      </c>
      <c r="G13" s="157">
        <v>0.0</v>
      </c>
      <c r="H13" s="157">
        <v>0.0</v>
      </c>
      <c r="I13" s="157">
        <v>0.0</v>
      </c>
      <c r="J13" s="157">
        <v>0.0</v>
      </c>
      <c r="K13" s="158">
        <v>0.0</v>
      </c>
      <c r="M13" s="157">
        <v>0.02</v>
      </c>
      <c r="N13" s="195"/>
      <c r="O13" s="185">
        <f>V13</f>
        <v>74987.98</v>
      </c>
      <c r="P13" s="164">
        <f t="shared" si="2"/>
        <v>5249.1586</v>
      </c>
      <c r="Q13" s="186">
        <f t="shared" si="3"/>
        <v>80237.1386</v>
      </c>
      <c r="R13" s="171">
        <f t="shared" si="18"/>
        <v>1499.7596</v>
      </c>
      <c r="S13" s="171">
        <f t="shared" si="5"/>
        <v>0</v>
      </c>
      <c r="T13" s="171">
        <f t="shared" si="6"/>
        <v>0</v>
      </c>
      <c r="U13" s="171">
        <f t="shared" si="19"/>
        <v>0</v>
      </c>
      <c r="V13" s="171">
        <f t="shared" si="17"/>
        <v>74987.98</v>
      </c>
      <c r="X13" s="165">
        <f t="shared" si="9"/>
        <v>0</v>
      </c>
      <c r="Y13" s="165">
        <f t="shared" si="10"/>
        <v>0</v>
      </c>
      <c r="Z13" s="165">
        <f t="shared" si="11"/>
        <v>74987.98</v>
      </c>
      <c r="AA13" s="165">
        <f t="shared" si="12"/>
        <v>0</v>
      </c>
      <c r="AB13" s="165">
        <f t="shared" si="13"/>
        <v>0</v>
      </c>
      <c r="AC13" s="186">
        <f t="shared" si="14"/>
        <v>74987.98</v>
      </c>
      <c r="AD13" s="167"/>
      <c r="AE13" s="17"/>
      <c r="AF13" s="168"/>
      <c r="AG13" s="167"/>
      <c r="AH13" s="168"/>
      <c r="AI13" s="167"/>
      <c r="AJ13" s="187"/>
      <c r="AK13" s="194"/>
      <c r="AL13" s="167"/>
      <c r="AM13" s="171">
        <f>SUM(BF13:BG13)</f>
        <v>74987.98</v>
      </c>
      <c r="AN13" s="168"/>
      <c r="AO13" s="17"/>
      <c r="AP13" s="17"/>
      <c r="AQ13" s="168"/>
      <c r="AR13" s="17"/>
      <c r="AS13" s="17"/>
      <c r="AT13" s="17"/>
      <c r="AU13" s="17"/>
      <c r="AV13" s="17"/>
      <c r="AW13" s="17"/>
      <c r="AX13" s="17"/>
      <c r="AY13" s="17"/>
      <c r="AZ13" s="176"/>
      <c r="BA13" s="17"/>
      <c r="BB13" s="17"/>
      <c r="BC13" s="187"/>
      <c r="BD13" s="17"/>
      <c r="BE13" s="17"/>
      <c r="BF13" s="173">
        <v>74987.98</v>
      </c>
      <c r="BG13" s="17"/>
      <c r="BH13" s="17"/>
      <c r="BI13" s="17"/>
      <c r="BJ13" s="17"/>
      <c r="BK13" s="17"/>
      <c r="BL13" s="195"/>
      <c r="BM13" s="181" t="str">
        <f t="shared" si="16"/>
        <v/>
      </c>
      <c r="BN13" s="2"/>
      <c r="BO13" s="2"/>
      <c r="BP13" s="133"/>
      <c r="BQ13" s="133"/>
      <c r="BR13" s="133"/>
    </row>
    <row r="14">
      <c r="A14" s="179" t="s">
        <v>117</v>
      </c>
      <c r="B14" s="188" t="s">
        <v>118</v>
      </c>
      <c r="C14" s="190" t="s">
        <v>112</v>
      </c>
      <c r="D14" s="191" t="s">
        <v>119</v>
      </c>
      <c r="E14" s="189" t="s">
        <v>120</v>
      </c>
      <c r="F14" s="156" t="s">
        <v>103</v>
      </c>
      <c r="G14" s="157">
        <v>0.12</v>
      </c>
      <c r="H14" s="157">
        <v>0.0</v>
      </c>
      <c r="I14" s="157">
        <v>0.0</v>
      </c>
      <c r="J14" s="157">
        <v>0.0</v>
      </c>
      <c r="K14" s="158">
        <v>0.0</v>
      </c>
      <c r="L14" s="239">
        <v>0.0</v>
      </c>
      <c r="M14" s="157">
        <v>0.02</v>
      </c>
      <c r="N14" s="195"/>
      <c r="O14" s="185">
        <f t="shared" ref="O14:O15" si="20">W14+S14+T14+V14+U14</f>
        <v>422251.4994</v>
      </c>
      <c r="P14" s="171">
        <f t="shared" si="2"/>
        <v>29557.60496</v>
      </c>
      <c r="Q14" s="186">
        <f t="shared" si="3"/>
        <v>451809.1044</v>
      </c>
      <c r="R14" s="171">
        <f t="shared" ref="R14:R26" si="21">SUM(AD14:AF14)*M14</f>
        <v>0</v>
      </c>
      <c r="S14" s="171">
        <f t="shared" si="5"/>
        <v>0</v>
      </c>
      <c r="T14" s="171">
        <f t="shared" si="6"/>
        <v>0</v>
      </c>
      <c r="U14" s="171">
        <f t="shared" si="19"/>
        <v>0</v>
      </c>
      <c r="V14" s="171">
        <f t="shared" ref="V14:V15" si="22">SUM(AL14:AP14)</f>
        <v>174501.885</v>
      </c>
      <c r="W14" s="171">
        <f t="shared" ref="W14:W16" si="23">ifs((AC14*G14)&gt;L14,AC14*G14,AC14=0,"0",(AC14*G14)&lt;=L14,L14)</f>
        <v>247749.6144</v>
      </c>
      <c r="X14" s="165">
        <f t="shared" si="9"/>
        <v>1598449.24</v>
      </c>
      <c r="Y14" s="165">
        <f t="shared" si="10"/>
        <v>332503.63</v>
      </c>
      <c r="Z14" s="165">
        <f t="shared" si="11"/>
        <v>20096.15</v>
      </c>
      <c r="AA14" s="165">
        <f t="shared" si="12"/>
        <v>113531.1</v>
      </c>
      <c r="AB14" s="165">
        <f t="shared" si="13"/>
        <v>0</v>
      </c>
      <c r="AC14" s="186">
        <f t="shared" si="14"/>
        <v>2064580.12</v>
      </c>
      <c r="AD14" s="167"/>
      <c r="AE14" s="17"/>
      <c r="AF14" s="168"/>
      <c r="AG14" s="167"/>
      <c r="AH14" s="168"/>
      <c r="AI14" s="196"/>
      <c r="AJ14" s="4"/>
      <c r="AK14" s="197"/>
      <c r="AL14" s="185">
        <f>SUM(BA14:BD14)</f>
        <v>113531.1</v>
      </c>
      <c r="AM14" s="17"/>
      <c r="AN14" s="168"/>
      <c r="AO14" s="171">
        <f>65238.74/1.07</f>
        <v>60970.78505</v>
      </c>
      <c r="AP14" s="17"/>
      <c r="AQ14" s="198"/>
      <c r="AR14" s="173">
        <v>53059.58</v>
      </c>
      <c r="AS14" s="173">
        <v>1135114.21</v>
      </c>
      <c r="AT14" s="173">
        <v>14997.77</v>
      </c>
      <c r="AU14" s="173">
        <v>395277.68</v>
      </c>
      <c r="AV14" s="173">
        <f>73596.25+189133.28</f>
        <v>262729.53</v>
      </c>
      <c r="AW14" s="173">
        <v>20856.63</v>
      </c>
      <c r="AX14" s="173">
        <v>48917.47</v>
      </c>
      <c r="AY14" s="17"/>
      <c r="AZ14" s="176"/>
      <c r="BA14" s="199">
        <v>0.0</v>
      </c>
      <c r="BB14" s="173">
        <v>113531.1</v>
      </c>
      <c r="BC14" s="187"/>
      <c r="BD14" s="17"/>
      <c r="BE14" s="17"/>
      <c r="BF14" s="17"/>
      <c r="BG14" s="173">
        <f>17596.74+2499.41</f>
        <v>20096.15</v>
      </c>
      <c r="BH14" s="17"/>
      <c r="BI14" s="17"/>
      <c r="BJ14" s="17"/>
      <c r="BK14" s="17"/>
      <c r="BL14" s="179" t="s">
        <v>98</v>
      </c>
      <c r="BM14" s="180" t="str">
        <f t="shared" si="16"/>
        <v>#REF!</v>
      </c>
      <c r="BN14" s="2"/>
      <c r="BO14" s="2"/>
      <c r="BP14" s="133"/>
      <c r="BQ14" s="133"/>
      <c r="BR14" s="133"/>
    </row>
    <row r="15">
      <c r="A15" s="179" t="s">
        <v>121</v>
      </c>
      <c r="B15" s="188" t="s">
        <v>118</v>
      </c>
      <c r="C15" s="190" t="s">
        <v>112</v>
      </c>
      <c r="D15" s="191" t="s">
        <v>119</v>
      </c>
      <c r="E15" s="189" t="s">
        <v>120</v>
      </c>
      <c r="F15" s="156" t="s">
        <v>103</v>
      </c>
      <c r="G15" s="157">
        <v>0.12</v>
      </c>
      <c r="H15" s="157">
        <v>0.0</v>
      </c>
      <c r="I15" s="157">
        <v>0.0</v>
      </c>
      <c r="J15" s="157">
        <v>0.0</v>
      </c>
      <c r="K15" s="158">
        <v>0.0</v>
      </c>
      <c r="L15" s="239">
        <v>0.0</v>
      </c>
      <c r="M15" s="157">
        <v>0.02</v>
      </c>
      <c r="N15" s="195"/>
      <c r="O15" s="185">
        <f t="shared" si="20"/>
        <v>588618.762</v>
      </c>
      <c r="P15" s="171">
        <f t="shared" si="2"/>
        <v>41203.31334</v>
      </c>
      <c r="Q15" s="186">
        <f t="shared" si="3"/>
        <v>629822.0753</v>
      </c>
      <c r="R15" s="171">
        <f t="shared" si="21"/>
        <v>0</v>
      </c>
      <c r="S15" s="171">
        <f t="shared" si="5"/>
        <v>0</v>
      </c>
      <c r="T15" s="171">
        <f t="shared" si="6"/>
        <v>0</v>
      </c>
      <c r="U15" s="171">
        <f t="shared" si="19"/>
        <v>0</v>
      </c>
      <c r="V15" s="171">
        <f t="shared" si="22"/>
        <v>533148.12</v>
      </c>
      <c r="W15" s="171">
        <f t="shared" si="23"/>
        <v>55470.642</v>
      </c>
      <c r="X15" s="165">
        <f t="shared" si="9"/>
        <v>0</v>
      </c>
      <c r="Y15" s="165">
        <f t="shared" si="10"/>
        <v>0</v>
      </c>
      <c r="Z15" s="165">
        <f t="shared" si="11"/>
        <v>462255.35</v>
      </c>
      <c r="AA15" s="165">
        <f t="shared" si="12"/>
        <v>0</v>
      </c>
      <c r="AB15" s="165">
        <f t="shared" si="13"/>
        <v>0</v>
      </c>
      <c r="AC15" s="186">
        <f t="shared" si="14"/>
        <v>462255.35</v>
      </c>
      <c r="AD15" s="167"/>
      <c r="AE15" s="17"/>
      <c r="AF15" s="168"/>
      <c r="AG15" s="167"/>
      <c r="AH15" s="168"/>
      <c r="AI15" s="167"/>
      <c r="AJ15" s="17"/>
      <c r="AK15" s="168"/>
      <c r="AL15" s="14"/>
      <c r="AM15" s="171">
        <f t="shared" ref="AM15:AM17" si="24">SUM(BF15:BG15)</f>
        <v>462255.35</v>
      </c>
      <c r="AN15" s="168"/>
      <c r="AO15" s="17"/>
      <c r="AP15" s="171">
        <v>70892.77</v>
      </c>
      <c r="AQ15" s="17"/>
      <c r="AR15" s="17"/>
      <c r="AS15" s="17"/>
      <c r="AT15" s="17"/>
      <c r="AU15" s="17"/>
      <c r="AV15" s="17"/>
      <c r="AW15" s="17"/>
      <c r="AX15" s="17"/>
      <c r="AY15" s="17"/>
      <c r="AZ15" s="176"/>
      <c r="BA15" s="177"/>
      <c r="BB15" s="17"/>
      <c r="BC15" s="187"/>
      <c r="BD15" s="17"/>
      <c r="BE15" s="17"/>
      <c r="BF15" s="173">
        <f>312333.31+149922.04</f>
        <v>462255.35</v>
      </c>
      <c r="BG15" s="17"/>
      <c r="BH15" s="17"/>
      <c r="BI15" s="17"/>
      <c r="BJ15" s="17"/>
      <c r="BK15" s="17"/>
      <c r="BL15" s="179" t="s">
        <v>98</v>
      </c>
      <c r="BM15" s="180" t="str">
        <f t="shared" si="16"/>
        <v>#REF!</v>
      </c>
      <c r="BN15" s="2"/>
      <c r="BO15" s="2"/>
      <c r="BP15" s="133"/>
      <c r="BQ15" s="133"/>
      <c r="BR15" s="133"/>
    </row>
    <row r="16">
      <c r="A16" s="378" t="s">
        <v>122</v>
      </c>
      <c r="B16" s="201" t="s">
        <v>123</v>
      </c>
      <c r="C16" s="202" t="s">
        <v>124</v>
      </c>
      <c r="D16" s="203" t="s">
        <v>101</v>
      </c>
      <c r="E16" s="204" t="s">
        <v>96</v>
      </c>
      <c r="F16" s="205" t="s">
        <v>103</v>
      </c>
      <c r="G16" s="206">
        <v>0.0</v>
      </c>
      <c r="H16" s="206">
        <v>0.0</v>
      </c>
      <c r="I16" s="206">
        <v>0.0</v>
      </c>
      <c r="J16" s="206">
        <v>0.0</v>
      </c>
      <c r="K16" s="207">
        <v>0.0</v>
      </c>
      <c r="L16" s="208">
        <v>23000.0</v>
      </c>
      <c r="M16" s="209"/>
      <c r="N16" s="210"/>
      <c r="O16" s="211">
        <v>0.0</v>
      </c>
      <c r="P16" s="212">
        <v>0.0</v>
      </c>
      <c r="Q16" s="213">
        <f t="shared" si="3"/>
        <v>0</v>
      </c>
      <c r="R16" s="212">
        <f t="shared" si="21"/>
        <v>0</v>
      </c>
      <c r="S16" s="212">
        <f t="shared" si="5"/>
        <v>0</v>
      </c>
      <c r="T16" s="212">
        <f t="shared" si="6"/>
        <v>0</v>
      </c>
      <c r="U16" s="212">
        <f t="shared" si="19"/>
        <v>0</v>
      </c>
      <c r="V16" s="212">
        <f>SUM(AL16:AQ16)</f>
        <v>0</v>
      </c>
      <c r="W16" s="212" t="str">
        <f t="shared" si="23"/>
        <v>0</v>
      </c>
      <c r="X16" s="165">
        <f t="shared" si="9"/>
        <v>0</v>
      </c>
      <c r="Y16" s="165">
        <f t="shared" si="10"/>
        <v>0</v>
      </c>
      <c r="Z16" s="165">
        <f t="shared" si="11"/>
        <v>0</v>
      </c>
      <c r="AA16" s="165">
        <f t="shared" si="12"/>
        <v>0</v>
      </c>
      <c r="AB16" s="165">
        <f t="shared" si="13"/>
        <v>0</v>
      </c>
      <c r="AC16" s="213">
        <f t="shared" si="14"/>
        <v>0</v>
      </c>
      <c r="AD16" s="132"/>
      <c r="AE16" s="129"/>
      <c r="AF16" s="214"/>
      <c r="AG16" s="132"/>
      <c r="AH16" s="214"/>
      <c r="AI16" s="167"/>
      <c r="AJ16" s="17"/>
      <c r="AK16" s="214"/>
      <c r="AL16" s="132"/>
      <c r="AM16" s="171">
        <f t="shared" si="24"/>
        <v>0</v>
      </c>
      <c r="AN16" s="214"/>
      <c r="AO16" s="129"/>
      <c r="AP16" s="129"/>
      <c r="AQ16" s="214"/>
      <c r="AR16" s="129"/>
      <c r="AS16" s="129"/>
      <c r="AT16" s="129"/>
      <c r="AU16" s="129"/>
      <c r="AV16" s="129"/>
      <c r="AW16" s="129"/>
      <c r="AX16" s="129"/>
      <c r="AY16" s="129"/>
      <c r="AZ16" s="215"/>
      <c r="BA16" s="216"/>
      <c r="BB16" s="129"/>
      <c r="BC16" s="209"/>
      <c r="BD16" s="129"/>
      <c r="BE16" s="129"/>
      <c r="BF16" s="129"/>
      <c r="BG16" s="129"/>
      <c r="BH16" s="129"/>
      <c r="BI16" s="129"/>
      <c r="BJ16" s="129"/>
      <c r="BK16" s="129"/>
      <c r="BL16" s="195"/>
      <c r="BM16" s="217" t="str">
        <f t="shared" si="16"/>
        <v/>
      </c>
      <c r="BN16" s="218"/>
      <c r="BO16" s="218"/>
      <c r="BP16" s="129"/>
      <c r="BQ16" s="129"/>
      <c r="BR16" s="129"/>
    </row>
    <row r="17">
      <c r="A17" s="179" t="s">
        <v>125</v>
      </c>
      <c r="B17" s="152" t="s">
        <v>126</v>
      </c>
      <c r="C17" s="190" t="s">
        <v>112</v>
      </c>
      <c r="D17" s="219" t="s">
        <v>127</v>
      </c>
      <c r="E17" s="189" t="s">
        <v>128</v>
      </c>
      <c r="F17" s="156" t="s">
        <v>115</v>
      </c>
      <c r="G17" s="220">
        <v>0.13</v>
      </c>
      <c r="H17" s="157">
        <v>0.0</v>
      </c>
      <c r="I17" s="157">
        <v>0.0</v>
      </c>
      <c r="J17" s="157">
        <v>0.0</v>
      </c>
      <c r="K17" s="158">
        <v>0.0</v>
      </c>
      <c r="L17" s="221">
        <v>50000.0</v>
      </c>
      <c r="M17" s="222"/>
      <c r="N17" s="379" t="s">
        <v>129</v>
      </c>
      <c r="O17" s="185">
        <f t="shared" ref="O17:O22" si="25">sum(S17:W17)</f>
        <v>471346.3995</v>
      </c>
      <c r="P17" s="171">
        <f t="shared" ref="P17:P32" si="26">O17*7%</f>
        <v>32994.24797</v>
      </c>
      <c r="Q17" s="186">
        <f t="shared" si="3"/>
        <v>504340.6475</v>
      </c>
      <c r="R17" s="171">
        <f t="shared" si="21"/>
        <v>0</v>
      </c>
      <c r="S17" s="171">
        <f t="shared" si="5"/>
        <v>0</v>
      </c>
      <c r="T17" s="171">
        <f t="shared" si="6"/>
        <v>0</v>
      </c>
      <c r="U17" s="171">
        <f t="shared" si="19"/>
        <v>220000</v>
      </c>
      <c r="V17" s="171">
        <f t="shared" ref="V17:V22" si="27">SUM(AL17:AP17)</f>
        <v>165380.1464</v>
      </c>
      <c r="W17" s="171">
        <f>ifs(((AC17+AC19)*G17)&gt;L17,(AC17+AC19)*G17,AC17=0,"0",((AC17+AC19)*G17)&lt;=L17,L17)</f>
        <v>85966.2531</v>
      </c>
      <c r="X17" s="165">
        <f t="shared" si="9"/>
        <v>367600.57</v>
      </c>
      <c r="Y17" s="165">
        <f t="shared" si="10"/>
        <v>103953.74</v>
      </c>
      <c r="Z17" s="165">
        <f t="shared" si="11"/>
        <v>59429.51</v>
      </c>
      <c r="AA17" s="165">
        <f t="shared" si="12"/>
        <v>58655.94</v>
      </c>
      <c r="AB17" s="165">
        <f t="shared" si="13"/>
        <v>0</v>
      </c>
      <c r="AC17" s="186">
        <f t="shared" ref="AC17:AC18" si="28">sum(AS17:BK17)</f>
        <v>582508.69</v>
      </c>
      <c r="AD17" s="167"/>
      <c r="AE17" s="17"/>
      <c r="AF17" s="168"/>
      <c r="AG17" s="167"/>
      <c r="AH17" s="168"/>
      <c r="AI17" s="167"/>
      <c r="AJ17" s="17"/>
      <c r="AK17" s="224">
        <v>220000.0</v>
      </c>
      <c r="AL17" s="169">
        <f t="shared" ref="AL17:AL18" si="29">SUM(BA17:BD17)</f>
        <v>58655.94</v>
      </c>
      <c r="AM17" s="178">
        <f t="shared" si="24"/>
        <v>59356.87</v>
      </c>
      <c r="AN17" s="168"/>
      <c r="AO17" s="171">
        <f>(50830.83-147.78)/1.07</f>
        <v>47367.33645</v>
      </c>
      <c r="AP17" s="17"/>
      <c r="AQ17" s="168"/>
      <c r="AR17" s="173">
        <v>7131.07</v>
      </c>
      <c r="AS17" s="173">
        <v>303974.35</v>
      </c>
      <c r="AT17" s="173">
        <v>404.01</v>
      </c>
      <c r="AU17" s="173">
        <v>56091.14</v>
      </c>
      <c r="AV17" s="173">
        <f>17539.08+11951.19</f>
        <v>29490.27</v>
      </c>
      <c r="AW17" s="173">
        <v>33056.48</v>
      </c>
      <c r="AX17" s="173">
        <v>41406.99</v>
      </c>
      <c r="AY17" s="17"/>
      <c r="AZ17" s="176"/>
      <c r="BA17" s="173">
        <f>3634.5+10410.74+261.16+913.56</f>
        <v>15219.96</v>
      </c>
      <c r="BB17" s="173">
        <f>6153.8+14540+20440.47+191.69+458.84+1651.18</f>
        <v>43435.98</v>
      </c>
      <c r="BC17" s="187"/>
      <c r="BD17" s="17"/>
      <c r="BE17" s="17"/>
      <c r="BF17" s="173">
        <f>49684.21+9672.66</f>
        <v>59356.87</v>
      </c>
      <c r="BG17" s="17"/>
      <c r="BH17" s="173">
        <v>72.64</v>
      </c>
      <c r="BI17" s="17"/>
      <c r="BJ17" s="17"/>
      <c r="BK17" s="17"/>
      <c r="BL17" s="179" t="s">
        <v>98</v>
      </c>
      <c r="BM17" s="180" t="str">
        <f t="shared" si="16"/>
        <v>#REF!</v>
      </c>
      <c r="BN17" s="2"/>
      <c r="BO17" s="2"/>
      <c r="BP17" s="133"/>
      <c r="BQ17" s="133"/>
      <c r="BR17" s="133"/>
    </row>
    <row r="18">
      <c r="A18" s="179" t="s">
        <v>130</v>
      </c>
      <c r="B18" s="152" t="s">
        <v>126</v>
      </c>
      <c r="C18" s="190" t="s">
        <v>112</v>
      </c>
      <c r="D18" s="219" t="s">
        <v>127</v>
      </c>
      <c r="E18" s="189" t="s">
        <v>128</v>
      </c>
      <c r="F18" s="156" t="s">
        <v>131</v>
      </c>
      <c r="G18" s="220">
        <v>0.13</v>
      </c>
      <c r="H18" s="157">
        <v>0.0</v>
      </c>
      <c r="I18" s="157">
        <v>0.0</v>
      </c>
      <c r="J18" s="157">
        <v>0.0</v>
      </c>
      <c r="K18" s="158">
        <v>0.0</v>
      </c>
      <c r="M18" s="222"/>
      <c r="N18" s="196"/>
      <c r="O18" s="185">
        <f t="shared" si="25"/>
        <v>60935.93</v>
      </c>
      <c r="P18" s="171">
        <f t="shared" si="26"/>
        <v>4265.5151</v>
      </c>
      <c r="Q18" s="186">
        <f t="shared" si="3"/>
        <v>65201.4451</v>
      </c>
      <c r="R18" s="171">
        <f t="shared" si="21"/>
        <v>0</v>
      </c>
      <c r="S18" s="171">
        <f t="shared" si="5"/>
        <v>0</v>
      </c>
      <c r="T18" s="171">
        <f t="shared" si="6"/>
        <v>0</v>
      </c>
      <c r="U18" s="171">
        <f t="shared" si="19"/>
        <v>0</v>
      </c>
      <c r="V18" s="171">
        <f t="shared" si="27"/>
        <v>60935.93</v>
      </c>
      <c r="X18" s="165">
        <f t="shared" si="9"/>
        <v>0</v>
      </c>
      <c r="Y18" s="165">
        <f t="shared" si="10"/>
        <v>0</v>
      </c>
      <c r="Z18" s="165">
        <f t="shared" si="11"/>
        <v>0</v>
      </c>
      <c r="AA18" s="165">
        <f t="shared" si="12"/>
        <v>60935.93</v>
      </c>
      <c r="AB18" s="165">
        <f t="shared" si="13"/>
        <v>0</v>
      </c>
      <c r="AC18" s="186">
        <f t="shared" si="28"/>
        <v>60935.93</v>
      </c>
      <c r="AD18" s="167"/>
      <c r="AE18" s="17"/>
      <c r="AF18" s="168"/>
      <c r="AG18" s="17"/>
      <c r="AH18" s="168"/>
      <c r="AI18" s="167"/>
      <c r="AJ18" s="17"/>
      <c r="AK18" s="168"/>
      <c r="AL18" s="169">
        <f t="shared" si="29"/>
        <v>60935.93</v>
      </c>
      <c r="AM18" s="225"/>
      <c r="AN18" s="226"/>
      <c r="AO18" s="17"/>
      <c r="AP18" s="17"/>
      <c r="AQ18" s="168"/>
      <c r="AR18" s="17"/>
      <c r="AS18" s="17"/>
      <c r="AT18" s="17"/>
      <c r="AU18" s="17"/>
      <c r="AV18" s="17"/>
      <c r="AW18" s="17"/>
      <c r="AX18" s="17"/>
      <c r="AY18" s="17"/>
      <c r="AZ18" s="176"/>
      <c r="BA18" s="173">
        <f>8736.17+5414.8+262.4+454.52</f>
        <v>14867.89</v>
      </c>
      <c r="BB18" s="173">
        <f>4405.08+14129.47+24712.56+117.5+869.2+1834.23</f>
        <v>46068.04</v>
      </c>
      <c r="BC18" s="187"/>
      <c r="BD18" s="17"/>
      <c r="BE18" s="17"/>
      <c r="BF18" s="17"/>
      <c r="BG18" s="17"/>
      <c r="BH18" s="17"/>
      <c r="BI18" s="17"/>
      <c r="BJ18" s="17"/>
      <c r="BK18" s="168"/>
      <c r="BL18" s="179" t="s">
        <v>98</v>
      </c>
      <c r="BM18" s="181"/>
      <c r="BN18" s="2"/>
      <c r="BO18" s="2"/>
      <c r="BP18" s="133"/>
      <c r="BQ18" s="133"/>
      <c r="BR18" s="133"/>
    </row>
    <row r="19">
      <c r="A19" s="179" t="s">
        <v>132</v>
      </c>
      <c r="B19" s="152" t="s">
        <v>126</v>
      </c>
      <c r="C19" s="190" t="s">
        <v>133</v>
      </c>
      <c r="D19" s="219" t="s">
        <v>127</v>
      </c>
      <c r="E19" s="189" t="s">
        <v>134</v>
      </c>
      <c r="F19" s="156" t="s">
        <v>115</v>
      </c>
      <c r="G19" s="220">
        <v>0.13</v>
      </c>
      <c r="H19" s="157">
        <v>0.0</v>
      </c>
      <c r="I19" s="157">
        <v>0.0</v>
      </c>
      <c r="J19" s="157">
        <v>0.0</v>
      </c>
      <c r="K19" s="158">
        <v>0.0</v>
      </c>
      <c r="M19" s="222"/>
      <c r="N19" s="379" t="s">
        <v>129</v>
      </c>
      <c r="O19" s="185">
        <f t="shared" si="25"/>
        <v>38963.36449</v>
      </c>
      <c r="P19" s="171">
        <f t="shared" si="26"/>
        <v>2727.435514</v>
      </c>
      <c r="Q19" s="186">
        <f t="shared" si="3"/>
        <v>41690.8</v>
      </c>
      <c r="R19" s="171">
        <f t="shared" si="21"/>
        <v>0</v>
      </c>
      <c r="S19" s="171">
        <f t="shared" si="5"/>
        <v>0</v>
      </c>
      <c r="T19" s="171">
        <f t="shared" si="6"/>
        <v>0</v>
      </c>
      <c r="U19" s="171">
        <f t="shared" si="19"/>
        <v>35360</v>
      </c>
      <c r="V19" s="171">
        <f t="shared" si="27"/>
        <v>3603.364486</v>
      </c>
      <c r="X19" s="165">
        <f t="shared" si="9"/>
        <v>69947.12</v>
      </c>
      <c r="Y19" s="165">
        <f t="shared" si="10"/>
        <v>8823.06</v>
      </c>
      <c r="Z19" s="165">
        <f t="shared" si="11"/>
        <v>0</v>
      </c>
      <c r="AA19" s="165">
        <f t="shared" si="12"/>
        <v>0</v>
      </c>
      <c r="AB19" s="165">
        <f t="shared" si="13"/>
        <v>0</v>
      </c>
      <c r="AC19" s="186">
        <f t="shared" ref="AC19:AC23" si="30">sum(AR19:BK19)</f>
        <v>78770.18</v>
      </c>
      <c r="AD19" s="167"/>
      <c r="AE19" s="17"/>
      <c r="AF19" s="168"/>
      <c r="AG19" s="167"/>
      <c r="AH19" s="168"/>
      <c r="AI19" s="169">
        <f>3550+710+1100</f>
        <v>5360</v>
      </c>
      <c r="AJ19" s="17"/>
      <c r="AK19" s="224">
        <v>30000.0</v>
      </c>
      <c r="AL19" s="167"/>
      <c r="AM19" s="17"/>
      <c r="AN19" s="226"/>
      <c r="AO19" s="171">
        <f>3855.6/1.07</f>
        <v>3603.364486</v>
      </c>
      <c r="AP19" s="17"/>
      <c r="AQ19" s="168"/>
      <c r="AR19" s="173">
        <v>10081.83</v>
      </c>
      <c r="AS19" s="173">
        <v>46606.75</v>
      </c>
      <c r="AT19" s="17"/>
      <c r="AU19" s="173">
        <v>13258.54</v>
      </c>
      <c r="AV19" s="173">
        <f>1901.32+2487.39</f>
        <v>4388.71</v>
      </c>
      <c r="AW19" s="173">
        <v>2176.42</v>
      </c>
      <c r="AX19" s="173">
        <v>2257.93</v>
      </c>
      <c r="AY19" s="380"/>
      <c r="AZ19" s="176"/>
      <c r="BA19" s="177"/>
      <c r="BB19" s="17"/>
      <c r="BC19" s="187"/>
      <c r="BD19" s="17"/>
      <c r="BE19" s="17"/>
      <c r="BF19" s="17"/>
      <c r="BG19" s="17"/>
      <c r="BH19" s="17"/>
      <c r="BI19" s="17"/>
      <c r="BJ19" s="17"/>
      <c r="BK19" s="168"/>
      <c r="BL19" s="179" t="s">
        <v>98</v>
      </c>
      <c r="BM19" s="180" t="str">
        <f>IFS(BL19="","",BM19&lt;&gt;"",BM19,1*1,NOW())</f>
        <v>#REF!</v>
      </c>
      <c r="BN19" s="2"/>
      <c r="BO19" s="133"/>
      <c r="BP19" s="133"/>
      <c r="BQ19" s="133"/>
      <c r="BR19" s="133"/>
    </row>
    <row r="20">
      <c r="A20" s="179" t="s">
        <v>135</v>
      </c>
      <c r="B20" s="152" t="s">
        <v>126</v>
      </c>
      <c r="C20" s="190" t="s">
        <v>133</v>
      </c>
      <c r="D20" s="219" t="s">
        <v>127</v>
      </c>
      <c r="E20" s="189" t="s">
        <v>128</v>
      </c>
      <c r="F20" s="156" t="s">
        <v>131</v>
      </c>
      <c r="G20" s="220">
        <v>0.13</v>
      </c>
      <c r="H20" s="157">
        <v>0.0</v>
      </c>
      <c r="I20" s="157">
        <v>0.0</v>
      </c>
      <c r="J20" s="157">
        <v>0.0</v>
      </c>
      <c r="K20" s="158">
        <v>0.0</v>
      </c>
      <c r="M20" s="222"/>
      <c r="N20" s="196"/>
      <c r="O20" s="185">
        <f t="shared" si="25"/>
        <v>84393.5</v>
      </c>
      <c r="P20" s="171">
        <f t="shared" si="26"/>
        <v>5907.545</v>
      </c>
      <c r="Q20" s="186">
        <f t="shared" si="3"/>
        <v>90301.045</v>
      </c>
      <c r="R20" s="171">
        <f t="shared" si="21"/>
        <v>0</v>
      </c>
      <c r="S20" s="171">
        <f t="shared" si="5"/>
        <v>0</v>
      </c>
      <c r="T20" s="171">
        <f t="shared" si="6"/>
        <v>0</v>
      </c>
      <c r="U20" s="171">
        <f t="shared" si="19"/>
        <v>0</v>
      </c>
      <c r="V20" s="171">
        <f t="shared" si="27"/>
        <v>84393.5</v>
      </c>
      <c r="X20" s="165">
        <f t="shared" si="9"/>
        <v>0</v>
      </c>
      <c r="Y20" s="165">
        <f t="shared" si="10"/>
        <v>0</v>
      </c>
      <c r="Z20" s="165">
        <f t="shared" si="11"/>
        <v>0</v>
      </c>
      <c r="AA20" s="165">
        <f t="shared" si="12"/>
        <v>57605.73</v>
      </c>
      <c r="AB20" s="165">
        <f t="shared" si="13"/>
        <v>26787.77</v>
      </c>
      <c r="AC20" s="186">
        <f t="shared" si="30"/>
        <v>84393.5</v>
      </c>
      <c r="AD20" s="17"/>
      <c r="AE20" s="17"/>
      <c r="AF20" s="168"/>
      <c r="AG20" s="17"/>
      <c r="AH20" s="168"/>
      <c r="AI20" s="167"/>
      <c r="AJ20" s="17"/>
      <c r="AK20" s="168"/>
      <c r="AL20" s="169">
        <f t="shared" ref="AL20:AL23" si="31">SUM(BA20:BD20)</f>
        <v>57605.73</v>
      </c>
      <c r="AM20" s="225"/>
      <c r="AN20" s="227">
        <f>BK20</f>
        <v>26787.77</v>
      </c>
      <c r="AO20" s="17"/>
      <c r="AP20" s="17"/>
      <c r="AQ20" s="168"/>
      <c r="AR20" s="17"/>
      <c r="AS20" s="17"/>
      <c r="AT20" s="17"/>
      <c r="AU20" s="17"/>
      <c r="AV20" s="17"/>
      <c r="AW20" s="17"/>
      <c r="AX20" s="17"/>
      <c r="AY20" s="17"/>
      <c r="AZ20" s="176"/>
      <c r="BA20" s="177"/>
      <c r="BB20" s="173">
        <f>4297.09+35847.89+11596.54+676.59+4151.06+1036.56</f>
        <v>57605.73</v>
      </c>
      <c r="BC20" s="187"/>
      <c r="BD20" s="17"/>
      <c r="BE20" s="17"/>
      <c r="BF20" s="17"/>
      <c r="BG20" s="17"/>
      <c r="BH20" s="17"/>
      <c r="BI20" s="17"/>
      <c r="BJ20" s="17"/>
      <c r="BK20" s="228">
        <v>26787.77</v>
      </c>
      <c r="BL20" s="188" t="s">
        <v>98</v>
      </c>
      <c r="BM20" s="181"/>
      <c r="BN20" s="2"/>
      <c r="BO20" s="133"/>
      <c r="BP20" s="133"/>
      <c r="BQ20" s="133"/>
      <c r="BR20" s="133"/>
    </row>
    <row r="21">
      <c r="A21" s="179" t="s">
        <v>136</v>
      </c>
      <c r="B21" s="152" t="s">
        <v>126</v>
      </c>
      <c r="C21" s="190" t="s">
        <v>133</v>
      </c>
      <c r="D21" s="219" t="s">
        <v>127</v>
      </c>
      <c r="E21" s="189" t="s">
        <v>128</v>
      </c>
      <c r="F21" s="156" t="s">
        <v>115</v>
      </c>
      <c r="G21" s="220">
        <v>0.13</v>
      </c>
      <c r="H21" s="4"/>
      <c r="I21" s="4"/>
      <c r="J21" s="4"/>
      <c r="K21" s="197"/>
      <c r="L21" s="4"/>
      <c r="M21" s="222"/>
      <c r="N21" s="196"/>
      <c r="O21" s="185">
        <f t="shared" si="25"/>
        <v>28555.7328</v>
      </c>
      <c r="P21" s="171">
        <f t="shared" si="26"/>
        <v>1998.901296</v>
      </c>
      <c r="Q21" s="186">
        <f t="shared" si="3"/>
        <v>30554.6341</v>
      </c>
      <c r="R21" s="171">
        <f t="shared" si="21"/>
        <v>0</v>
      </c>
      <c r="S21" s="171">
        <f t="shared" si="5"/>
        <v>0</v>
      </c>
      <c r="T21" s="171">
        <f t="shared" si="6"/>
        <v>0</v>
      </c>
      <c r="U21" s="171">
        <f t="shared" si="19"/>
        <v>0</v>
      </c>
      <c r="V21" s="171">
        <f t="shared" si="27"/>
        <v>25270.56</v>
      </c>
      <c r="W21" s="171">
        <f t="shared" ref="W21:W23" si="32">ifs((AC21*G21)&gt;L21,AC21*G21,AC21=0,"0",(AC21*G21)&lt;=L21,L21)</f>
        <v>3285.1728</v>
      </c>
      <c r="X21" s="165">
        <f t="shared" si="9"/>
        <v>0</v>
      </c>
      <c r="Y21" s="165">
        <f t="shared" si="10"/>
        <v>0</v>
      </c>
      <c r="Z21" s="165">
        <f t="shared" si="11"/>
        <v>0</v>
      </c>
      <c r="AA21" s="165">
        <f t="shared" si="12"/>
        <v>25270.56</v>
      </c>
      <c r="AB21" s="165">
        <f t="shared" si="13"/>
        <v>0</v>
      </c>
      <c r="AC21" s="186">
        <f t="shared" si="30"/>
        <v>25270.56</v>
      </c>
      <c r="AD21" s="167"/>
      <c r="AE21" s="17"/>
      <c r="AF21" s="168"/>
      <c r="AG21" s="167"/>
      <c r="AH21" s="168"/>
      <c r="AI21" s="167"/>
      <c r="AJ21" s="230"/>
      <c r="AK21" s="231"/>
      <c r="AL21" s="185">
        <f t="shared" si="31"/>
        <v>25270.56</v>
      </c>
      <c r="AM21" s="17"/>
      <c r="AN21" s="168"/>
      <c r="AO21" s="17"/>
      <c r="AP21" s="17"/>
      <c r="AQ21" s="168"/>
      <c r="AR21" s="17"/>
      <c r="AS21" s="17"/>
      <c r="AT21" s="17"/>
      <c r="AU21" s="17"/>
      <c r="AV21" s="17"/>
      <c r="AW21" s="17"/>
      <c r="AX21" s="17"/>
      <c r="AY21" s="17"/>
      <c r="AZ21" s="176"/>
      <c r="BA21" s="173">
        <f>9627.22+370.47</f>
        <v>9997.69</v>
      </c>
      <c r="BB21" s="173">
        <f>8472.34+5966.49+526.28+307.76</f>
        <v>15272.87</v>
      </c>
      <c r="BC21" s="187"/>
      <c r="BD21" s="17"/>
      <c r="BE21" s="17"/>
      <c r="BF21" s="17"/>
      <c r="BG21" s="17"/>
      <c r="BH21" s="17"/>
      <c r="BI21" s="17"/>
      <c r="BJ21" s="17"/>
      <c r="BK21" s="17"/>
      <c r="BL21" s="179" t="s">
        <v>98</v>
      </c>
      <c r="BM21" s="180" t="str">
        <f t="shared" ref="BM21:BM32" si="33">IFS(BL21="","",BM21&lt;&gt;"",BM21,1*1,NOW())</f>
        <v>#REF!</v>
      </c>
      <c r="BN21" s="2"/>
      <c r="BO21" s="133"/>
      <c r="BP21" s="133"/>
      <c r="BQ21" s="133"/>
      <c r="BR21" s="133"/>
    </row>
    <row r="22">
      <c r="A22" s="179" t="s">
        <v>137</v>
      </c>
      <c r="B22" s="188" t="s">
        <v>138</v>
      </c>
      <c r="C22" s="190" t="s">
        <v>139</v>
      </c>
      <c r="D22" s="219" t="s">
        <v>140</v>
      </c>
      <c r="E22" s="189" t="s">
        <v>141</v>
      </c>
      <c r="F22" s="156" t="s">
        <v>115</v>
      </c>
      <c r="G22" s="157">
        <v>0.13</v>
      </c>
      <c r="H22" s="157">
        <v>0.0</v>
      </c>
      <c r="I22" s="157">
        <v>0.0</v>
      </c>
      <c r="J22" s="157">
        <v>0.0</v>
      </c>
      <c r="K22" s="158">
        <v>0.0</v>
      </c>
      <c r="L22" s="159">
        <v>45000.0</v>
      </c>
      <c r="M22" s="3"/>
      <c r="N22" s="196"/>
      <c r="O22" s="185">
        <f t="shared" si="25"/>
        <v>0</v>
      </c>
      <c r="P22" s="171">
        <f t="shared" si="26"/>
        <v>0</v>
      </c>
      <c r="Q22" s="186">
        <f t="shared" si="3"/>
        <v>0</v>
      </c>
      <c r="R22" s="171">
        <f t="shared" si="21"/>
        <v>0</v>
      </c>
      <c r="S22" s="171">
        <f t="shared" si="5"/>
        <v>0</v>
      </c>
      <c r="T22" s="171">
        <f t="shared" si="6"/>
        <v>0</v>
      </c>
      <c r="U22" s="171">
        <f t="shared" si="19"/>
        <v>0</v>
      </c>
      <c r="V22" s="164">
        <f t="shared" si="27"/>
        <v>0</v>
      </c>
      <c r="W22" s="164" t="str">
        <f t="shared" si="32"/>
        <v>0</v>
      </c>
      <c r="X22" s="165">
        <f t="shared" si="9"/>
        <v>0</v>
      </c>
      <c r="Y22" s="165">
        <f t="shared" si="10"/>
        <v>0</v>
      </c>
      <c r="Z22" s="165">
        <f t="shared" si="11"/>
        <v>0</v>
      </c>
      <c r="AA22" s="165">
        <f t="shared" si="12"/>
        <v>0</v>
      </c>
      <c r="AB22" s="165">
        <f t="shared" si="13"/>
        <v>0</v>
      </c>
      <c r="AC22" s="166">
        <f t="shared" si="30"/>
        <v>0</v>
      </c>
      <c r="AD22" s="167"/>
      <c r="AE22" s="17"/>
      <c r="AF22" s="168"/>
      <c r="AG22" s="160"/>
      <c r="AH22" s="168"/>
      <c r="AI22" s="160"/>
      <c r="AJ22" s="2"/>
      <c r="AK22" s="232"/>
      <c r="AL22" s="185">
        <f t="shared" si="31"/>
        <v>0</v>
      </c>
      <c r="AM22" s="171">
        <f t="shared" ref="AM22:AM23" si="34">SUM(BF22:BG22)</f>
        <v>0</v>
      </c>
      <c r="AN22" s="168"/>
      <c r="AO22" s="133"/>
      <c r="AP22" s="133"/>
      <c r="AQ22" s="198"/>
      <c r="AR22" s="171">
        <v>0.0</v>
      </c>
      <c r="AS22" s="171">
        <v>0.0</v>
      </c>
      <c r="AT22" s="17"/>
      <c r="AU22" s="171">
        <v>0.0</v>
      </c>
      <c r="AV22" s="171">
        <v>0.0</v>
      </c>
      <c r="AW22" s="171">
        <v>0.0</v>
      </c>
      <c r="AX22" s="171">
        <v>0.0</v>
      </c>
      <c r="AY22" s="17"/>
      <c r="AZ22" s="176"/>
      <c r="BA22" s="233">
        <v>0.0</v>
      </c>
      <c r="BB22" s="171">
        <v>0.0</v>
      </c>
      <c r="BC22" s="187"/>
      <c r="BD22" s="17"/>
      <c r="BE22" s="17"/>
      <c r="BF22" s="17"/>
      <c r="BG22" s="17"/>
      <c r="BH22" s="17"/>
      <c r="BI22" s="17"/>
      <c r="BJ22" s="17"/>
      <c r="BK22" s="17"/>
      <c r="BL22" s="195"/>
      <c r="BM22" s="181" t="str">
        <f t="shared" si="33"/>
        <v/>
      </c>
      <c r="BN22" s="2"/>
      <c r="BO22" s="133"/>
      <c r="BP22" s="133"/>
      <c r="BQ22" s="133"/>
      <c r="BR22" s="133"/>
    </row>
    <row r="23">
      <c r="A23" s="179" t="s">
        <v>142</v>
      </c>
      <c r="B23" s="188" t="s">
        <v>143</v>
      </c>
      <c r="C23" s="234"/>
      <c r="D23" s="191" t="s">
        <v>95</v>
      </c>
      <c r="E23" s="189" t="s">
        <v>144</v>
      </c>
      <c r="F23" s="156" t="s">
        <v>115</v>
      </c>
      <c r="G23" s="157">
        <v>0.0</v>
      </c>
      <c r="H23" s="157">
        <v>0.0</v>
      </c>
      <c r="I23" s="157">
        <v>0.0</v>
      </c>
      <c r="J23" s="157">
        <v>0.0</v>
      </c>
      <c r="K23" s="158">
        <v>0.0</v>
      </c>
      <c r="L23" s="159">
        <v>35000.0</v>
      </c>
      <c r="M23" s="3"/>
      <c r="N23" s="196"/>
      <c r="O23" s="185">
        <f t="shared" ref="O23:O25" si="35">W23+V23</f>
        <v>664593.44</v>
      </c>
      <c r="P23" s="164">
        <f t="shared" si="26"/>
        <v>46521.5408</v>
      </c>
      <c r="Q23" s="166">
        <f t="shared" si="3"/>
        <v>711114.9808</v>
      </c>
      <c r="R23" s="164">
        <f t="shared" si="21"/>
        <v>0</v>
      </c>
      <c r="S23" s="164">
        <f t="shared" si="5"/>
        <v>0</v>
      </c>
      <c r="T23" s="164">
        <f t="shared" si="6"/>
        <v>0</v>
      </c>
      <c r="U23" s="164">
        <f t="shared" si="19"/>
        <v>0</v>
      </c>
      <c r="V23" s="164">
        <f t="shared" ref="V23:V25" si="36">SUM(AL23:AQ23)</f>
        <v>629593.44</v>
      </c>
      <c r="W23" s="164">
        <f t="shared" si="32"/>
        <v>35000</v>
      </c>
      <c r="X23" s="165">
        <f t="shared" si="9"/>
        <v>0</v>
      </c>
      <c r="Y23" s="165">
        <f t="shared" si="10"/>
        <v>0</v>
      </c>
      <c r="Z23" s="165">
        <f t="shared" si="11"/>
        <v>633986.41</v>
      </c>
      <c r="AA23" s="165">
        <f t="shared" si="12"/>
        <v>0</v>
      </c>
      <c r="AB23" s="165">
        <f t="shared" si="13"/>
        <v>0</v>
      </c>
      <c r="AC23" s="166">
        <f t="shared" si="30"/>
        <v>633986.41</v>
      </c>
      <c r="AD23" s="167"/>
      <c r="AE23" s="17"/>
      <c r="AF23" s="168"/>
      <c r="AG23" s="167"/>
      <c r="AH23" s="168"/>
      <c r="AI23" s="167"/>
      <c r="AJ23" s="17"/>
      <c r="AK23" s="168"/>
      <c r="AL23" s="185">
        <f t="shared" si="31"/>
        <v>0</v>
      </c>
      <c r="AM23" s="171">
        <f t="shared" si="34"/>
        <v>629593.44</v>
      </c>
      <c r="AN23" s="168"/>
      <c r="AO23" s="17"/>
      <c r="AP23" s="17"/>
      <c r="AQ23" s="168"/>
      <c r="AR23" s="17"/>
      <c r="AS23" s="17"/>
      <c r="AT23" s="17"/>
      <c r="AU23" s="17"/>
      <c r="AV23" s="17"/>
      <c r="AW23" s="17"/>
      <c r="AX23" s="17"/>
      <c r="AY23" s="17"/>
      <c r="AZ23" s="176"/>
      <c r="BA23" s="177"/>
      <c r="BB23" s="17"/>
      <c r="BC23" s="187"/>
      <c r="BD23" s="17"/>
      <c r="BE23" s="17"/>
      <c r="BF23" s="173">
        <f>475075.23+154518.21</f>
        <v>629593.44</v>
      </c>
      <c r="BG23" s="17"/>
      <c r="BH23" s="173">
        <v>4392.97</v>
      </c>
      <c r="BI23" s="17"/>
      <c r="BJ23" s="17"/>
      <c r="BK23" s="17"/>
      <c r="BL23" s="195"/>
      <c r="BM23" s="181" t="str">
        <f t="shared" si="33"/>
        <v/>
      </c>
      <c r="BN23" s="133"/>
      <c r="BO23" s="133"/>
      <c r="BP23" s="133"/>
      <c r="BQ23" s="133"/>
      <c r="BR23" s="133"/>
    </row>
    <row r="24">
      <c r="A24" s="179" t="s">
        <v>145</v>
      </c>
      <c r="B24" s="188" t="s">
        <v>143</v>
      </c>
      <c r="C24" s="234"/>
      <c r="D24" s="191" t="s">
        <v>95</v>
      </c>
      <c r="E24" s="189" t="s">
        <v>144</v>
      </c>
      <c r="F24" s="156" t="s">
        <v>115</v>
      </c>
      <c r="G24" s="235">
        <v>0.075</v>
      </c>
      <c r="H24" s="157">
        <v>0.0</v>
      </c>
      <c r="I24" s="157">
        <v>0.0</v>
      </c>
      <c r="J24" s="157">
        <v>0.0</v>
      </c>
      <c r="K24" s="158">
        <v>0.0</v>
      </c>
      <c r="L24" s="159">
        <v>50000.0</v>
      </c>
      <c r="M24" s="3"/>
      <c r="N24" s="196"/>
      <c r="O24" s="185">
        <f t="shared" si="35"/>
        <v>56411.11125</v>
      </c>
      <c r="P24" s="164">
        <f t="shared" si="26"/>
        <v>3948.777788</v>
      </c>
      <c r="Q24" s="166">
        <f t="shared" si="3"/>
        <v>60359.88904</v>
      </c>
      <c r="R24" s="164">
        <f t="shared" si="21"/>
        <v>0</v>
      </c>
      <c r="S24" s="164">
        <f t="shared" si="5"/>
        <v>0</v>
      </c>
      <c r="T24" s="164">
        <f t="shared" si="6"/>
        <v>0</v>
      </c>
      <c r="U24" s="164">
        <f t="shared" si="19"/>
        <v>0</v>
      </c>
      <c r="V24" s="164">
        <f t="shared" si="36"/>
        <v>0</v>
      </c>
      <c r="W24" s="164">
        <f>ifs(((X24+Y24)*G24)&gt;L24,(X24+Y24)*G24,AC24=0,"0",(X24+Y24)*G24&lt;=L24,L24)</f>
        <v>56411.11125</v>
      </c>
      <c r="X24" s="165">
        <f t="shared" si="9"/>
        <v>590253.55</v>
      </c>
      <c r="Y24" s="165">
        <f t="shared" si="10"/>
        <v>161894.6</v>
      </c>
      <c r="Z24" s="165">
        <f t="shared" si="11"/>
        <v>0</v>
      </c>
      <c r="AA24" s="165">
        <f t="shared" si="12"/>
        <v>0</v>
      </c>
      <c r="AB24" s="165">
        <f t="shared" si="13"/>
        <v>0</v>
      </c>
      <c r="AC24" s="166">
        <f>sum(AS24:BK24)</f>
        <v>752148.15</v>
      </c>
      <c r="AD24" s="167"/>
      <c r="AE24" s="17"/>
      <c r="AF24" s="168"/>
      <c r="AG24" s="167"/>
      <c r="AH24" s="168"/>
      <c r="AI24" s="167"/>
      <c r="AJ24" s="17"/>
      <c r="AK24" s="168"/>
      <c r="AL24" s="167"/>
      <c r="AM24" s="17"/>
      <c r="AN24" s="168"/>
      <c r="AO24" s="17"/>
      <c r="AP24" s="17"/>
      <c r="AQ24" s="168"/>
      <c r="AR24" s="178">
        <v>0.0</v>
      </c>
      <c r="AS24" s="173">
        <f>318122.38+138355.61+133775.56</f>
        <v>590253.55</v>
      </c>
      <c r="AT24" s="17"/>
      <c r="AU24" s="17"/>
      <c r="AV24" s="173">
        <v>37286.87</v>
      </c>
      <c r="AW24" s="173">
        <v>124607.73</v>
      </c>
      <c r="AX24" s="17"/>
      <c r="AY24" s="17"/>
      <c r="AZ24" s="176"/>
      <c r="BA24" s="177"/>
      <c r="BB24" s="17"/>
      <c r="BC24" s="187"/>
      <c r="BD24" s="17"/>
      <c r="BE24" s="17"/>
      <c r="BF24" s="17"/>
      <c r="BG24" s="17"/>
      <c r="BH24" s="17"/>
      <c r="BI24" s="17"/>
      <c r="BJ24" s="17"/>
      <c r="BK24" s="17"/>
      <c r="BL24" s="151" t="s">
        <v>98</v>
      </c>
      <c r="BM24" s="180" t="str">
        <f t="shared" si="33"/>
        <v>#REF!</v>
      </c>
      <c r="BN24" s="133"/>
      <c r="BO24" s="133"/>
      <c r="BP24" s="133"/>
      <c r="BQ24" s="133"/>
      <c r="BR24" s="133"/>
    </row>
    <row r="25">
      <c r="A25" s="179" t="s">
        <v>146</v>
      </c>
      <c r="B25" s="188" t="s">
        <v>143</v>
      </c>
      <c r="C25" s="234"/>
      <c r="D25" s="191" t="s">
        <v>95</v>
      </c>
      <c r="E25" s="189" t="s">
        <v>144</v>
      </c>
      <c r="F25" s="156" t="s">
        <v>115</v>
      </c>
      <c r="G25" s="157">
        <v>0.0</v>
      </c>
      <c r="H25" s="157">
        <v>0.0</v>
      </c>
      <c r="I25" s="157">
        <v>0.0</v>
      </c>
      <c r="J25" s="157">
        <v>0.0</v>
      </c>
      <c r="K25" s="158">
        <v>0.0</v>
      </c>
      <c r="L25" s="159">
        <v>35000.0</v>
      </c>
      <c r="M25" s="3"/>
      <c r="N25" s="196"/>
      <c r="O25" s="185">
        <f t="shared" si="35"/>
        <v>240727.02</v>
      </c>
      <c r="P25" s="164">
        <f t="shared" si="26"/>
        <v>16850.8914</v>
      </c>
      <c r="Q25" s="166">
        <f t="shared" si="3"/>
        <v>257577.9114</v>
      </c>
      <c r="R25" s="164">
        <f t="shared" si="21"/>
        <v>0</v>
      </c>
      <c r="S25" s="164">
        <f t="shared" si="5"/>
        <v>0</v>
      </c>
      <c r="T25" s="164">
        <f t="shared" si="6"/>
        <v>0</v>
      </c>
      <c r="U25" s="164">
        <f t="shared" si="19"/>
        <v>0</v>
      </c>
      <c r="V25" s="164">
        <f t="shared" si="36"/>
        <v>205727.02</v>
      </c>
      <c r="W25" s="164">
        <f>ifs((AC25*G25)&gt;L25,AC25*G25,AC25=0,"0",(AC25*G25)&lt;=L25,L25)</f>
        <v>35000</v>
      </c>
      <c r="X25" s="165">
        <f t="shared" si="9"/>
        <v>0</v>
      </c>
      <c r="Y25" s="165">
        <f t="shared" si="10"/>
        <v>0</v>
      </c>
      <c r="Z25" s="165">
        <f t="shared" si="11"/>
        <v>209643.4</v>
      </c>
      <c r="AA25" s="165">
        <f t="shared" si="12"/>
        <v>0</v>
      </c>
      <c r="AB25" s="165">
        <f t="shared" si="13"/>
        <v>0</v>
      </c>
      <c r="AC25" s="166">
        <f t="shared" ref="AC25:AC32" si="37">sum(AR25:BK25)</f>
        <v>209643.4</v>
      </c>
      <c r="AD25" s="167"/>
      <c r="AE25" s="17"/>
      <c r="AF25" s="168"/>
      <c r="AG25" s="167"/>
      <c r="AH25" s="168"/>
      <c r="AI25" s="167"/>
      <c r="AJ25" s="17"/>
      <c r="AK25" s="168"/>
      <c r="AL25" s="185">
        <f>SUM(BA25:BD25)</f>
        <v>0</v>
      </c>
      <c r="AM25" s="171">
        <f>SUM(BF25:BG25)</f>
        <v>205727.02</v>
      </c>
      <c r="AN25" s="168"/>
      <c r="AO25" s="17"/>
      <c r="AP25" s="17"/>
      <c r="AQ25" s="168"/>
      <c r="AR25" s="17"/>
      <c r="AS25" s="17"/>
      <c r="AT25" s="17"/>
      <c r="AU25" s="17"/>
      <c r="AV25" s="17"/>
      <c r="AW25" s="17"/>
      <c r="AX25" s="17"/>
      <c r="AY25" s="17"/>
      <c r="AZ25" s="176"/>
      <c r="BA25" s="177"/>
      <c r="BB25" s="17"/>
      <c r="BC25" s="187"/>
      <c r="BD25" s="17"/>
      <c r="BE25" s="17"/>
      <c r="BF25" s="173">
        <f>161219.64+44507.38</f>
        <v>205727.02</v>
      </c>
      <c r="BG25" s="17"/>
      <c r="BH25" s="173">
        <v>3916.38</v>
      </c>
      <c r="BI25" s="17"/>
      <c r="BJ25" s="17"/>
      <c r="BK25" s="17"/>
      <c r="BL25" s="160"/>
      <c r="BM25" s="181" t="str">
        <f t="shared" si="33"/>
        <v/>
      </c>
      <c r="BN25" s="133"/>
      <c r="BO25" s="133"/>
      <c r="BP25" s="133"/>
      <c r="BQ25" s="133"/>
      <c r="BR25" s="133"/>
    </row>
    <row r="26">
      <c r="A26" s="179" t="s">
        <v>147</v>
      </c>
      <c r="B26" s="188" t="s">
        <v>148</v>
      </c>
      <c r="C26" s="190" t="s">
        <v>112</v>
      </c>
      <c r="D26" s="191" t="s">
        <v>149</v>
      </c>
      <c r="E26" s="189" t="s">
        <v>150</v>
      </c>
      <c r="F26" s="156" t="s">
        <v>103</v>
      </c>
      <c r="G26" s="157">
        <v>0.07</v>
      </c>
      <c r="H26" s="157">
        <v>0.0</v>
      </c>
      <c r="I26" s="157">
        <v>0.0</v>
      </c>
      <c r="J26" s="157">
        <v>0.0</v>
      </c>
      <c r="K26" s="158">
        <v>0.02</v>
      </c>
      <c r="L26" s="159">
        <v>0.0</v>
      </c>
      <c r="M26" s="3"/>
      <c r="N26" s="196"/>
      <c r="O26" s="185">
        <f>U26+V26+W26</f>
        <v>5364888.589</v>
      </c>
      <c r="P26" s="164">
        <f t="shared" si="26"/>
        <v>375542.2012</v>
      </c>
      <c r="Q26" s="166">
        <f t="shared" si="3"/>
        <v>5740430.79</v>
      </c>
      <c r="R26" s="164">
        <f t="shared" si="21"/>
        <v>0</v>
      </c>
      <c r="S26" s="164">
        <f t="shared" si="5"/>
        <v>0</v>
      </c>
      <c r="T26" s="164">
        <f t="shared" si="6"/>
        <v>0</v>
      </c>
      <c r="U26" s="164">
        <f t="shared" si="19"/>
        <v>1900000</v>
      </c>
      <c r="V26" s="164">
        <f>SUM(AL26:AP26)</f>
        <v>3142114.26</v>
      </c>
      <c r="W26" s="164">
        <f>G26*sum(AR26:AT26,AV26:AW26,BA26:BG26)+K26*sum(AU26,AX26,BI26)</f>
        <v>322774.3291</v>
      </c>
      <c r="X26" s="165">
        <f t="shared" si="9"/>
        <v>2880739.71</v>
      </c>
      <c r="Y26" s="165">
        <f t="shared" si="10"/>
        <v>751323.83</v>
      </c>
      <c r="Z26" s="165">
        <f t="shared" si="11"/>
        <v>1344382.5</v>
      </c>
      <c r="AA26" s="165">
        <f t="shared" si="12"/>
        <v>0</v>
      </c>
      <c r="AB26" s="165">
        <f t="shared" si="13"/>
        <v>0</v>
      </c>
      <c r="AC26" s="166">
        <f t="shared" si="37"/>
        <v>4976446.04</v>
      </c>
      <c r="AD26" s="167"/>
      <c r="AE26" s="17"/>
      <c r="AF26" s="168"/>
      <c r="AG26" s="167"/>
      <c r="AH26" s="168"/>
      <c r="AI26" s="160"/>
      <c r="AJ26" s="133"/>
      <c r="AK26" s="170">
        <f>1500000+400000</f>
        <v>1900000</v>
      </c>
      <c r="AL26" s="167"/>
      <c r="AM26" s="178">
        <f>SUM(BF26:BH26)</f>
        <v>1344382.5</v>
      </c>
      <c r="AN26" s="168"/>
      <c r="AO26" s="133"/>
      <c r="AP26" s="171">
        <v>1797731.76</v>
      </c>
      <c r="AQ26" s="172"/>
      <c r="AR26" s="173">
        <v>13360.0</v>
      </c>
      <c r="AS26" s="173">
        <v>2549872.13</v>
      </c>
      <c r="AT26" s="173">
        <v>22315.58</v>
      </c>
      <c r="AU26" s="173">
        <f>235233+59959</f>
        <v>295192</v>
      </c>
      <c r="AV26" s="173">
        <f>115165.51+122574.87</f>
        <v>237740.38</v>
      </c>
      <c r="AW26" s="173">
        <v>301378.72</v>
      </c>
      <c r="AX26" s="173">
        <v>212204.73</v>
      </c>
      <c r="AY26" s="17"/>
      <c r="AZ26" s="176"/>
      <c r="BA26" s="177"/>
      <c r="BB26" s="17"/>
      <c r="BC26" s="187"/>
      <c r="BD26" s="17"/>
      <c r="BE26" s="17"/>
      <c r="BF26" s="173">
        <f> 1073108.84+268315.7</f>
        <v>1341424.54</v>
      </c>
      <c r="BG26" s="17"/>
      <c r="BH26" s="173">
        <v>2957.96</v>
      </c>
      <c r="BI26" s="17"/>
      <c r="BJ26" s="17"/>
      <c r="BK26" s="17"/>
      <c r="BL26" s="151" t="s">
        <v>98</v>
      </c>
      <c r="BM26" s="180" t="str">
        <f t="shared" si="33"/>
        <v>#REF!</v>
      </c>
      <c r="BN26" s="133"/>
      <c r="BO26" s="133"/>
      <c r="BP26" s="133"/>
      <c r="BQ26" s="133"/>
      <c r="BR26" s="133"/>
    </row>
    <row r="27">
      <c r="A27" s="179" t="s">
        <v>151</v>
      </c>
      <c r="B27" s="152" t="s">
        <v>152</v>
      </c>
      <c r="C27" s="190" t="s">
        <v>153</v>
      </c>
      <c r="D27" s="154" t="s">
        <v>154</v>
      </c>
      <c r="E27" s="219" t="s">
        <v>155</v>
      </c>
      <c r="F27" s="156" t="s">
        <v>103</v>
      </c>
      <c r="G27" s="236">
        <v>0.0</v>
      </c>
      <c r="H27" s="157">
        <v>0.09</v>
      </c>
      <c r="I27" s="157">
        <v>0.09</v>
      </c>
      <c r="J27" s="157">
        <v>0.07</v>
      </c>
      <c r="K27" s="158">
        <v>0.0</v>
      </c>
      <c r="L27" s="239">
        <v>0.0</v>
      </c>
      <c r="M27" s="3"/>
      <c r="N27" s="196"/>
      <c r="O27" s="184">
        <f t="shared" ref="O27:O32" si="38">sum(S27:W27)</f>
        <v>2409920.515</v>
      </c>
      <c r="P27" s="171">
        <f t="shared" si="26"/>
        <v>168694.436</v>
      </c>
      <c r="Q27" s="186">
        <f t="shared" si="3"/>
        <v>2578614.951</v>
      </c>
      <c r="R27" s="171">
        <f t="shared" ref="R27:R31" si="39">SUM(S27:V27)*M27</f>
        <v>0</v>
      </c>
      <c r="S27" s="171">
        <f t="shared" si="5"/>
        <v>0</v>
      </c>
      <c r="T27" s="171">
        <f t="shared" si="6"/>
        <v>2080006.51</v>
      </c>
      <c r="U27" s="171">
        <f t="shared" si="19"/>
        <v>0</v>
      </c>
      <c r="V27" s="164">
        <f>SUM(AL27:AQ27)</f>
        <v>275688.43</v>
      </c>
      <c r="W27" s="164">
        <f>(Y27*H27)+(Z27*J27)+(X27*I27)</f>
        <v>54225.5749</v>
      </c>
      <c r="X27" s="165">
        <f t="shared" si="9"/>
        <v>337676.93</v>
      </c>
      <c r="Y27" s="165">
        <f t="shared" si="10"/>
        <v>194401.68</v>
      </c>
      <c r="Z27" s="165">
        <f t="shared" si="11"/>
        <v>90550</v>
      </c>
      <c r="AA27" s="165">
        <f t="shared" si="12"/>
        <v>87979.69</v>
      </c>
      <c r="AB27" s="165">
        <f t="shared" si="13"/>
        <v>0</v>
      </c>
      <c r="AC27" s="166">
        <f t="shared" si="37"/>
        <v>748609.13</v>
      </c>
      <c r="AD27" s="167"/>
      <c r="AE27" s="17"/>
      <c r="AF27" s="168"/>
      <c r="AG27" s="169">
        <v>757530.09</v>
      </c>
      <c r="AH27" s="170">
        <v>1322476.42</v>
      </c>
      <c r="AI27" s="196"/>
      <c r="AJ27" s="6"/>
      <c r="AK27" s="6"/>
      <c r="AL27" s="185">
        <f t="shared" ref="AL27:AL31" si="40">SUM(BA27:BD27)</f>
        <v>87979.69</v>
      </c>
      <c r="AM27" s="171">
        <f t="shared" ref="AM27:AM28" si="41">SUM(BF27:BG27)</f>
        <v>90404.01</v>
      </c>
      <c r="AN27" s="168"/>
      <c r="AO27" s="171">
        <v>65588.67</v>
      </c>
      <c r="AP27" s="171">
        <v>31716.06</v>
      </c>
      <c r="AQ27" s="170">
        <v>0.0</v>
      </c>
      <c r="AR27" s="173">
        <v>21830.46</v>
      </c>
      <c r="AS27" s="173">
        <v>227552.62</v>
      </c>
      <c r="AT27" s="173">
        <v>2535.75</v>
      </c>
      <c r="AU27" s="173">
        <v>85758.1</v>
      </c>
      <c r="AV27" s="173">
        <f>32373.84+21886.32</f>
        <v>54260.16</v>
      </c>
      <c r="AW27" s="173">
        <v>95172.45</v>
      </c>
      <c r="AX27" s="173">
        <v>44969.07</v>
      </c>
      <c r="AY27" s="17"/>
      <c r="AZ27" s="176"/>
      <c r="BA27" s="173">
        <v>27994.61</v>
      </c>
      <c r="BB27" s="173">
        <v>59985.08</v>
      </c>
      <c r="BC27" s="187"/>
      <c r="BD27" s="17"/>
      <c r="BE27" s="17"/>
      <c r="BF27" s="173">
        <f>19290.99+71113.02</f>
        <v>90404.01</v>
      </c>
      <c r="BG27" s="17"/>
      <c r="BH27" s="173">
        <v>145.99</v>
      </c>
      <c r="BI27" s="173">
        <v>38000.83</v>
      </c>
      <c r="BJ27" s="17"/>
      <c r="BK27" s="17"/>
      <c r="BL27" s="179" t="s">
        <v>98</v>
      </c>
      <c r="BM27" s="180" t="str">
        <f t="shared" si="33"/>
        <v>#REF!</v>
      </c>
      <c r="BN27" s="2"/>
      <c r="BO27" s="2"/>
      <c r="BP27" s="133"/>
      <c r="BQ27" s="133"/>
      <c r="BR27" s="133"/>
    </row>
    <row r="28">
      <c r="A28" s="179" t="s">
        <v>156</v>
      </c>
      <c r="B28" s="152" t="s">
        <v>157</v>
      </c>
      <c r="C28" s="234"/>
      <c r="D28" s="154" t="s">
        <v>158</v>
      </c>
      <c r="E28" s="237"/>
      <c r="F28" s="232"/>
      <c r="G28" s="236">
        <v>0.12</v>
      </c>
      <c r="H28" s="157">
        <v>0.0</v>
      </c>
      <c r="I28" s="157">
        <v>0.0</v>
      </c>
      <c r="J28" s="157">
        <v>0.0</v>
      </c>
      <c r="K28" s="158">
        <v>0.0</v>
      </c>
      <c r="L28" s="159">
        <v>60000.0</v>
      </c>
      <c r="M28" s="3"/>
      <c r="N28" s="238"/>
      <c r="O28" s="184">
        <f t="shared" si="38"/>
        <v>154965.3717</v>
      </c>
      <c r="P28" s="171">
        <f t="shared" si="26"/>
        <v>10847.57602</v>
      </c>
      <c r="Q28" s="186">
        <f t="shared" si="3"/>
        <v>165812.9477</v>
      </c>
      <c r="R28" s="171">
        <f t="shared" si="39"/>
        <v>0</v>
      </c>
      <c r="S28" s="171">
        <f t="shared" si="5"/>
        <v>0</v>
      </c>
      <c r="T28" s="171">
        <f t="shared" si="6"/>
        <v>0</v>
      </c>
      <c r="U28" s="171">
        <f t="shared" si="19"/>
        <v>29777.3573</v>
      </c>
      <c r="V28" s="164">
        <f t="shared" ref="V28:V31" si="42">SUM(AL28:AN28)</f>
        <v>16718.77</v>
      </c>
      <c r="W28" s="164">
        <f>ifs(((AC28+AC29+AC30+AC31)*G28)&gt;L28,(AC28+AC29+AC30+AC31)*G28,AC28=0,"0",((AC28+AC29+AC30+AC31)*G28)&lt;=L28,L28)</f>
        <v>108469.2444</v>
      </c>
      <c r="X28" s="165">
        <f t="shared" si="9"/>
        <v>195738.09</v>
      </c>
      <c r="Y28" s="165">
        <f t="shared" si="10"/>
        <v>11426.61</v>
      </c>
      <c r="Z28" s="165">
        <f t="shared" si="11"/>
        <v>0</v>
      </c>
      <c r="AA28" s="165">
        <f t="shared" si="12"/>
        <v>16718.77</v>
      </c>
      <c r="AB28" s="165">
        <f t="shared" si="13"/>
        <v>0</v>
      </c>
      <c r="AC28" s="166">
        <f t="shared" si="37"/>
        <v>442838.43</v>
      </c>
      <c r="AD28" s="167"/>
      <c r="AE28" s="17"/>
      <c r="AF28" s="168"/>
      <c r="AG28" s="160"/>
      <c r="AH28" s="172"/>
      <c r="AI28" s="160"/>
      <c r="AJ28" s="133"/>
      <c r="AK28" s="186">
        <f t="shared" ref="AK28:AK30" si="43">(sum(AR28:BI28)/sum($AS$28:$BJ$30))*53000</f>
        <v>29777.3573</v>
      </c>
      <c r="AL28" s="171">
        <f t="shared" si="40"/>
        <v>16718.77</v>
      </c>
      <c r="AM28" s="171">
        <f t="shared" si="41"/>
        <v>0</v>
      </c>
      <c r="AN28" s="168"/>
      <c r="AO28" s="17"/>
      <c r="AP28" s="164">
        <v>199089.54</v>
      </c>
      <c r="AQ28" s="168"/>
      <c r="AR28" s="173">
        <f>6747.59+39000</f>
        <v>45747.59</v>
      </c>
      <c r="AS28" s="173">
        <v>29922.02</v>
      </c>
      <c r="AT28" s="178">
        <v>0.0</v>
      </c>
      <c r="AU28" s="173">
        <v>120068.48</v>
      </c>
      <c r="AV28" s="173">
        <v>7348.17</v>
      </c>
      <c r="AW28" s="173">
        <v>4078.44</v>
      </c>
      <c r="AX28" s="178">
        <v>0.0</v>
      </c>
      <c r="AY28" s="17"/>
      <c r="AZ28" s="176"/>
      <c r="BA28" s="173">
        <v>5952.87</v>
      </c>
      <c r="BB28" s="173">
        <v>10765.9</v>
      </c>
      <c r="BC28" s="171">
        <v>0.0</v>
      </c>
      <c r="BD28" s="17"/>
      <c r="BE28" s="17"/>
      <c r="BF28" s="17"/>
      <c r="BG28" s="17"/>
      <c r="BH28" s="17"/>
      <c r="BI28" s="173">
        <v>218954.96</v>
      </c>
      <c r="BJ28" s="17"/>
      <c r="BK28" s="17"/>
      <c r="BL28" s="195"/>
      <c r="BM28" s="181" t="str">
        <f t="shared" si="33"/>
        <v/>
      </c>
      <c r="BN28" s="2"/>
      <c r="BO28" s="2"/>
      <c r="BP28" s="133"/>
      <c r="BQ28" s="133"/>
      <c r="BR28" s="133"/>
    </row>
    <row r="29">
      <c r="A29" s="179" t="s">
        <v>159</v>
      </c>
      <c r="B29" s="152" t="s">
        <v>157</v>
      </c>
      <c r="C29" s="234"/>
      <c r="D29" s="154" t="s">
        <v>158</v>
      </c>
      <c r="E29" s="237"/>
      <c r="F29" s="232"/>
      <c r="H29" s="157">
        <v>0.0</v>
      </c>
      <c r="I29" s="157">
        <v>0.0</v>
      </c>
      <c r="J29" s="157">
        <v>0.0</v>
      </c>
      <c r="K29" s="158">
        <v>0.0</v>
      </c>
      <c r="M29" s="3"/>
      <c r="N29" s="196"/>
      <c r="O29" s="184">
        <f t="shared" si="38"/>
        <v>85422.76264</v>
      </c>
      <c r="P29" s="171">
        <f t="shared" si="26"/>
        <v>5979.593385</v>
      </c>
      <c r="Q29" s="186">
        <f t="shared" si="3"/>
        <v>91402.35603</v>
      </c>
      <c r="R29" s="171">
        <f t="shared" si="39"/>
        <v>0</v>
      </c>
      <c r="S29" s="171">
        <f t="shared" si="5"/>
        <v>0</v>
      </c>
      <c r="T29" s="171">
        <f t="shared" si="6"/>
        <v>0</v>
      </c>
      <c r="U29" s="171">
        <f t="shared" si="19"/>
        <v>22636.58264</v>
      </c>
      <c r="V29" s="164">
        <f t="shared" si="42"/>
        <v>62786.18</v>
      </c>
      <c r="X29" s="165">
        <f t="shared" si="9"/>
        <v>187684.17</v>
      </c>
      <c r="Y29" s="165">
        <f t="shared" si="10"/>
        <v>40236.14</v>
      </c>
      <c r="Z29" s="165">
        <f t="shared" si="11"/>
        <v>0</v>
      </c>
      <c r="AA29" s="165">
        <f t="shared" si="12"/>
        <v>62786.18</v>
      </c>
      <c r="AB29" s="165">
        <f t="shared" si="13"/>
        <v>0</v>
      </c>
      <c r="AC29" s="166">
        <f t="shared" si="37"/>
        <v>336643.33</v>
      </c>
      <c r="AD29" s="167"/>
      <c r="AE29" s="17"/>
      <c r="AF29" s="168"/>
      <c r="AG29" s="167"/>
      <c r="AH29" s="172"/>
      <c r="AI29" s="160"/>
      <c r="AJ29" s="133"/>
      <c r="AK29" s="186">
        <f t="shared" si="43"/>
        <v>22636.58264</v>
      </c>
      <c r="AL29" s="185">
        <f t="shared" si="40"/>
        <v>62786.18</v>
      </c>
      <c r="AM29" s="17"/>
      <c r="AN29" s="168"/>
      <c r="AO29" s="17"/>
      <c r="AP29" s="17"/>
      <c r="AQ29" s="172"/>
      <c r="AR29" s="173">
        <v>5000.02</v>
      </c>
      <c r="AS29" s="173">
        <v>147598.0</v>
      </c>
      <c r="AT29" s="178">
        <v>0.0</v>
      </c>
      <c r="AU29" s="173">
        <v>35086.15</v>
      </c>
      <c r="AV29" s="173">
        <v>137.83</v>
      </c>
      <c r="AW29" s="173">
        <v>40098.31</v>
      </c>
      <c r="AX29" s="178">
        <v>0.0</v>
      </c>
      <c r="AY29" s="17"/>
      <c r="AZ29" s="176"/>
      <c r="BA29" s="171">
        <v>0.0</v>
      </c>
      <c r="BB29" s="173">
        <v>62786.18</v>
      </c>
      <c r="BC29" s="171">
        <v>0.0</v>
      </c>
      <c r="BD29" s="17"/>
      <c r="BE29" s="17"/>
      <c r="BF29" s="17"/>
      <c r="BG29" s="17"/>
      <c r="BH29" s="17"/>
      <c r="BI29" s="173">
        <v>45936.84</v>
      </c>
      <c r="BJ29" s="17"/>
      <c r="BK29" s="17"/>
      <c r="BL29" s="195"/>
      <c r="BM29" s="181" t="str">
        <f t="shared" si="33"/>
        <v/>
      </c>
      <c r="BN29" s="2"/>
      <c r="BO29" s="2"/>
      <c r="BP29" s="133"/>
      <c r="BQ29" s="133"/>
      <c r="BR29" s="133"/>
    </row>
    <row r="30">
      <c r="A30" s="179" t="s">
        <v>160</v>
      </c>
      <c r="B30" s="152" t="s">
        <v>157</v>
      </c>
      <c r="C30" s="234"/>
      <c r="D30" s="154" t="s">
        <v>158</v>
      </c>
      <c r="E30" s="237"/>
      <c r="F30" s="232"/>
      <c r="H30" s="157">
        <v>0.0</v>
      </c>
      <c r="I30" s="157">
        <v>0.0</v>
      </c>
      <c r="J30" s="157">
        <v>0.0</v>
      </c>
      <c r="K30" s="158">
        <v>0.0</v>
      </c>
      <c r="M30" s="3"/>
      <c r="N30" s="196"/>
      <c r="O30" s="184">
        <f t="shared" si="38"/>
        <v>33693.72264</v>
      </c>
      <c r="P30" s="171">
        <f t="shared" si="26"/>
        <v>2358.560585</v>
      </c>
      <c r="Q30" s="186">
        <f t="shared" si="3"/>
        <v>36052.28322</v>
      </c>
      <c r="R30" s="171">
        <f t="shared" si="39"/>
        <v>0</v>
      </c>
      <c r="S30" s="171">
        <f t="shared" si="5"/>
        <v>0</v>
      </c>
      <c r="T30" s="171">
        <f t="shared" si="6"/>
        <v>0</v>
      </c>
      <c r="U30" s="171">
        <f t="shared" si="19"/>
        <v>3998.432639</v>
      </c>
      <c r="V30" s="164">
        <f t="shared" si="42"/>
        <v>29695.29</v>
      </c>
      <c r="X30" s="165">
        <f t="shared" si="9"/>
        <v>22307.71</v>
      </c>
      <c r="Y30" s="165">
        <f t="shared" si="10"/>
        <v>61.8</v>
      </c>
      <c r="Z30" s="165">
        <f t="shared" si="11"/>
        <v>0</v>
      </c>
      <c r="AA30" s="165">
        <f t="shared" si="12"/>
        <v>29695.29</v>
      </c>
      <c r="AB30" s="165">
        <f t="shared" si="13"/>
        <v>0</v>
      </c>
      <c r="AC30" s="166">
        <f t="shared" si="37"/>
        <v>59463.29</v>
      </c>
      <c r="AD30" s="167"/>
      <c r="AE30" s="17"/>
      <c r="AF30" s="168"/>
      <c r="AG30" s="167"/>
      <c r="AH30" s="172"/>
      <c r="AI30" s="160"/>
      <c r="AJ30" s="133"/>
      <c r="AK30" s="186">
        <f t="shared" si="43"/>
        <v>3998.432639</v>
      </c>
      <c r="AL30" s="185">
        <f t="shared" si="40"/>
        <v>29695.29</v>
      </c>
      <c r="AM30" s="17"/>
      <c r="AN30" s="168"/>
      <c r="AO30" s="17"/>
      <c r="AP30" s="17"/>
      <c r="AQ30" s="172"/>
      <c r="AR30" s="173">
        <v>0.0</v>
      </c>
      <c r="AS30" s="173">
        <v>20566.14</v>
      </c>
      <c r="AT30" s="178">
        <v>0.0</v>
      </c>
      <c r="AU30" s="173">
        <v>1741.57</v>
      </c>
      <c r="AV30" s="173">
        <v>61.8</v>
      </c>
      <c r="AW30" s="178">
        <v>0.0</v>
      </c>
      <c r="AX30" s="178">
        <v>0.0</v>
      </c>
      <c r="AY30" s="17"/>
      <c r="AZ30" s="176"/>
      <c r="BA30" s="17"/>
      <c r="BB30" s="173">
        <v>29695.29</v>
      </c>
      <c r="BC30" s="17"/>
      <c r="BD30" s="17"/>
      <c r="BE30" s="17"/>
      <c r="BF30" s="17"/>
      <c r="BG30" s="17"/>
      <c r="BH30" s="17"/>
      <c r="BI30" s="173">
        <v>7398.49</v>
      </c>
      <c r="BJ30" s="17"/>
      <c r="BK30" s="17"/>
      <c r="BL30" s="195"/>
      <c r="BM30" s="181" t="str">
        <f t="shared" si="33"/>
        <v/>
      </c>
      <c r="BN30" s="2"/>
      <c r="BO30" s="2"/>
      <c r="BP30" s="133"/>
      <c r="BQ30" s="133"/>
      <c r="BR30" s="133"/>
    </row>
    <row r="31">
      <c r="A31" s="179" t="s">
        <v>161</v>
      </c>
      <c r="B31" s="152" t="s">
        <v>157</v>
      </c>
      <c r="C31" s="234"/>
      <c r="D31" s="154" t="s">
        <v>158</v>
      </c>
      <c r="E31" s="237"/>
      <c r="F31" s="232"/>
      <c r="H31" s="157">
        <v>0.0</v>
      </c>
      <c r="I31" s="157">
        <v>0.0</v>
      </c>
      <c r="J31" s="157">
        <v>0.0</v>
      </c>
      <c r="K31" s="158">
        <v>0.0</v>
      </c>
      <c r="M31" s="3"/>
      <c r="N31" s="196"/>
      <c r="O31" s="184">
        <f t="shared" si="38"/>
        <v>64965.32</v>
      </c>
      <c r="P31" s="171">
        <f t="shared" si="26"/>
        <v>4547.5724</v>
      </c>
      <c r="Q31" s="186">
        <f t="shared" si="3"/>
        <v>69512.8924</v>
      </c>
      <c r="R31" s="171">
        <f t="shared" si="39"/>
        <v>0</v>
      </c>
      <c r="S31" s="171">
        <f t="shared" si="5"/>
        <v>0</v>
      </c>
      <c r="T31" s="171">
        <f t="shared" si="6"/>
        <v>0</v>
      </c>
      <c r="U31" s="171">
        <f t="shared" si="19"/>
        <v>0</v>
      </c>
      <c r="V31" s="164">
        <f t="shared" si="42"/>
        <v>64965.32</v>
      </c>
      <c r="X31" s="165">
        <f t="shared" si="9"/>
        <v>0</v>
      </c>
      <c r="Y31" s="165">
        <f t="shared" si="10"/>
        <v>0</v>
      </c>
      <c r="Z31" s="165">
        <f t="shared" si="11"/>
        <v>0</v>
      </c>
      <c r="AA31" s="165">
        <f t="shared" si="12"/>
        <v>64965.32</v>
      </c>
      <c r="AB31" s="165">
        <f t="shared" si="13"/>
        <v>0</v>
      </c>
      <c r="AC31" s="166">
        <f t="shared" si="37"/>
        <v>64965.32</v>
      </c>
      <c r="AD31" s="167"/>
      <c r="AE31" s="17"/>
      <c r="AF31" s="168"/>
      <c r="AG31" s="167"/>
      <c r="AH31" s="172"/>
      <c r="AI31" s="160"/>
      <c r="AJ31" s="133"/>
      <c r="AK31" s="172"/>
      <c r="AL31" s="185">
        <f t="shared" si="40"/>
        <v>64965.32</v>
      </c>
      <c r="AM31" s="17"/>
      <c r="AN31" s="168"/>
      <c r="AO31" s="17"/>
      <c r="AP31" s="17"/>
      <c r="AQ31" s="172"/>
      <c r="AR31" s="17"/>
      <c r="AS31" s="17"/>
      <c r="AT31" s="17"/>
      <c r="AU31" s="17"/>
      <c r="AV31" s="17"/>
      <c r="AW31" s="17"/>
      <c r="AX31" s="17"/>
      <c r="AY31" s="17"/>
      <c r="AZ31" s="176"/>
      <c r="BA31" s="17"/>
      <c r="BB31" s="17"/>
      <c r="BC31" s="17"/>
      <c r="BD31" s="173">
        <v>64965.32</v>
      </c>
      <c r="BE31" s="17"/>
      <c r="BF31" s="17"/>
      <c r="BG31" s="17"/>
      <c r="BH31" s="17"/>
      <c r="BI31" s="17"/>
      <c r="BJ31" s="17"/>
      <c r="BK31" s="17"/>
      <c r="BL31" s="195"/>
      <c r="BM31" s="181" t="str">
        <f t="shared" si="33"/>
        <v/>
      </c>
      <c r="BN31" s="2"/>
      <c r="BO31" s="2"/>
      <c r="BP31" s="133"/>
      <c r="BQ31" s="133"/>
      <c r="BR31" s="133"/>
    </row>
    <row r="32">
      <c r="A32" s="179" t="s">
        <v>162</v>
      </c>
      <c r="B32" s="152" t="s">
        <v>163</v>
      </c>
      <c r="C32" s="234"/>
      <c r="D32" s="239" t="s">
        <v>164</v>
      </c>
      <c r="E32" s="189" t="s">
        <v>165</v>
      </c>
      <c r="F32" s="156" t="s">
        <v>103</v>
      </c>
      <c r="G32" s="157">
        <v>0.1</v>
      </c>
      <c r="H32" s="157">
        <v>0.0</v>
      </c>
      <c r="I32" s="157">
        <v>0.0</v>
      </c>
      <c r="J32" s="157">
        <v>0.0</v>
      </c>
      <c r="K32" s="158">
        <v>0.0</v>
      </c>
      <c r="L32" s="159">
        <v>45000.0</v>
      </c>
      <c r="M32" s="3"/>
      <c r="N32" s="196"/>
      <c r="O32" s="185">
        <f t="shared" si="38"/>
        <v>779129.503</v>
      </c>
      <c r="P32" s="171">
        <f t="shared" si="26"/>
        <v>54539.06521</v>
      </c>
      <c r="Q32" s="186">
        <f t="shared" si="3"/>
        <v>833668.5682</v>
      </c>
      <c r="R32" s="171">
        <f>SUM(AD32:AF32)*M32</f>
        <v>0</v>
      </c>
      <c r="S32" s="171">
        <f t="shared" si="5"/>
        <v>0</v>
      </c>
      <c r="T32" s="171">
        <f t="shared" si="6"/>
        <v>0</v>
      </c>
      <c r="U32" s="171">
        <f t="shared" si="19"/>
        <v>700000</v>
      </c>
      <c r="V32" s="164">
        <f>SUM(AL32:AQ32)</f>
        <v>0</v>
      </c>
      <c r="W32" s="164">
        <f>ifs((AC32*G32)&gt;L32,AC32*G32,AC32=0,"0",(AC32*G32)&lt;=L32,L32)</f>
        <v>79129.503</v>
      </c>
      <c r="X32" s="165">
        <f t="shared" si="9"/>
        <v>723584.81</v>
      </c>
      <c r="Y32" s="165">
        <f t="shared" si="10"/>
        <v>67710.22</v>
      </c>
      <c r="Z32" s="165">
        <f t="shared" si="11"/>
        <v>0</v>
      </c>
      <c r="AA32" s="165">
        <f t="shared" si="12"/>
        <v>0</v>
      </c>
      <c r="AB32" s="165">
        <f t="shared" si="13"/>
        <v>0</v>
      </c>
      <c r="AC32" s="186">
        <f t="shared" si="37"/>
        <v>791295.03</v>
      </c>
      <c r="AD32" s="167"/>
      <c r="AE32" s="17"/>
      <c r="AF32" s="168"/>
      <c r="AG32" s="167"/>
      <c r="AH32" s="172"/>
      <c r="AI32" s="167"/>
      <c r="AJ32" s="133"/>
      <c r="AK32" s="186">
        <v>700000.0</v>
      </c>
      <c r="AL32" s="167"/>
      <c r="AM32" s="17"/>
      <c r="AN32" s="168"/>
      <c r="AO32" s="17"/>
      <c r="AP32" s="17"/>
      <c r="AQ32" s="172"/>
      <c r="AR32" s="173">
        <v>20755.27</v>
      </c>
      <c r="AS32" s="173">
        <v>472438.31</v>
      </c>
      <c r="AT32" s="173">
        <v>11279.62</v>
      </c>
      <c r="AU32" s="173">
        <v>219111.61</v>
      </c>
      <c r="AV32" s="173">
        <v>13028.78</v>
      </c>
      <c r="AW32" s="173">
        <v>47920.12</v>
      </c>
      <c r="AX32" s="173">
        <v>6761.32</v>
      </c>
      <c r="AY32" s="17"/>
      <c r="AZ32" s="176"/>
      <c r="BA32" s="17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9" t="s">
        <v>98</v>
      </c>
      <c r="BM32" s="180" t="str">
        <f t="shared" si="33"/>
        <v>#REF!</v>
      </c>
      <c r="BN32" s="2"/>
      <c r="BO32" s="2"/>
      <c r="BP32" s="133"/>
      <c r="BQ32" s="133"/>
      <c r="BR32" s="133"/>
    </row>
    <row r="33">
      <c r="A33" s="381" t="s">
        <v>166</v>
      </c>
      <c r="B33" s="241"/>
      <c r="C33" s="242"/>
      <c r="D33" s="243"/>
      <c r="E33" s="244"/>
      <c r="F33" s="245"/>
      <c r="G33" s="246"/>
      <c r="H33" s="246"/>
      <c r="I33" s="246"/>
      <c r="J33" s="246"/>
      <c r="K33" s="247"/>
      <c r="L33" s="246"/>
      <c r="M33" s="246"/>
      <c r="N33" s="248"/>
      <c r="O33" s="249">
        <f t="shared" ref="O33:BK33" si="44">SUM(O8:O32)</f>
        <v>14340672.08</v>
      </c>
      <c r="P33" s="250">
        <f t="shared" si="44"/>
        <v>1003847.045</v>
      </c>
      <c r="Q33" s="251">
        <f t="shared" si="44"/>
        <v>15344519.12</v>
      </c>
      <c r="R33" s="250">
        <f t="shared" si="44"/>
        <v>34815.236</v>
      </c>
      <c r="S33" s="250">
        <f t="shared" si="44"/>
        <v>0</v>
      </c>
      <c r="T33" s="250">
        <f t="shared" si="44"/>
        <v>2080006.51</v>
      </c>
      <c r="U33" s="250">
        <f t="shared" si="44"/>
        <v>3531272.373</v>
      </c>
      <c r="V33" s="250">
        <f t="shared" si="44"/>
        <v>7581681.016</v>
      </c>
      <c r="W33" s="250">
        <f t="shared" si="44"/>
        <v>1422712.179</v>
      </c>
      <c r="X33" s="250">
        <f t="shared" si="44"/>
        <v>9036919.1</v>
      </c>
      <c r="Y33" s="250">
        <f t="shared" si="44"/>
        <v>2213131.43</v>
      </c>
      <c r="Z33" s="250">
        <f t="shared" si="44"/>
        <v>4403450.04</v>
      </c>
      <c r="AA33" s="250">
        <f t="shared" si="44"/>
        <v>578144.51</v>
      </c>
      <c r="AB33" s="250">
        <f t="shared" si="44"/>
        <v>26787.77</v>
      </c>
      <c r="AC33" s="251">
        <f t="shared" si="44"/>
        <v>18511990.41</v>
      </c>
      <c r="AD33" s="249">
        <f t="shared" si="44"/>
        <v>0</v>
      </c>
      <c r="AE33" s="250">
        <f t="shared" si="44"/>
        <v>0</v>
      </c>
      <c r="AF33" s="251">
        <f t="shared" si="44"/>
        <v>0</v>
      </c>
      <c r="AG33" s="249">
        <f t="shared" si="44"/>
        <v>757530.09</v>
      </c>
      <c r="AH33" s="251">
        <f t="shared" si="44"/>
        <v>1322476.42</v>
      </c>
      <c r="AI33" s="249">
        <f t="shared" si="44"/>
        <v>98860</v>
      </c>
      <c r="AJ33" s="250">
        <f t="shared" si="44"/>
        <v>0</v>
      </c>
      <c r="AK33" s="250">
        <f t="shared" si="44"/>
        <v>3432412.373</v>
      </c>
      <c r="AL33" s="250">
        <f t="shared" si="44"/>
        <v>578144.51</v>
      </c>
      <c r="AM33" s="250">
        <f t="shared" si="44"/>
        <v>4370158.07</v>
      </c>
      <c r="AN33" s="251">
        <f t="shared" si="44"/>
        <v>26787.77</v>
      </c>
      <c r="AO33" s="250">
        <f t="shared" si="44"/>
        <v>420568.8062</v>
      </c>
      <c r="AP33" s="250">
        <f t="shared" si="44"/>
        <v>2312062.59</v>
      </c>
      <c r="AQ33" s="251">
        <f t="shared" si="44"/>
        <v>73048.81</v>
      </c>
      <c r="AR33" s="250">
        <f t="shared" si="44"/>
        <v>277520.4</v>
      </c>
      <c r="AS33" s="250">
        <f t="shared" si="44"/>
        <v>6549736.26</v>
      </c>
      <c r="AT33" s="250">
        <f t="shared" si="44"/>
        <v>57138.02</v>
      </c>
      <c r="AU33" s="250">
        <f t="shared" si="44"/>
        <v>2152524.42</v>
      </c>
      <c r="AV33" s="250">
        <f t="shared" si="44"/>
        <v>782539.6</v>
      </c>
      <c r="AW33" s="250">
        <f t="shared" si="44"/>
        <v>911931.29</v>
      </c>
      <c r="AX33" s="250">
        <f t="shared" si="44"/>
        <v>518660.54</v>
      </c>
      <c r="AY33" s="250">
        <f t="shared" si="44"/>
        <v>0</v>
      </c>
      <c r="AZ33" s="252">
        <f t="shared" si="44"/>
        <v>0</v>
      </c>
      <c r="BA33" s="253">
        <f t="shared" si="44"/>
        <v>74033.02</v>
      </c>
      <c r="BB33" s="250">
        <f t="shared" si="44"/>
        <v>439146.17</v>
      </c>
      <c r="BC33" s="250">
        <f t="shared" si="44"/>
        <v>0</v>
      </c>
      <c r="BD33" s="250">
        <f t="shared" si="44"/>
        <v>64965.32</v>
      </c>
      <c r="BE33" s="250">
        <f t="shared" si="44"/>
        <v>0</v>
      </c>
      <c r="BF33" s="250">
        <f t="shared" si="44"/>
        <v>4367200.11</v>
      </c>
      <c r="BG33" s="250">
        <f t="shared" si="44"/>
        <v>20096.15</v>
      </c>
      <c r="BH33" s="250">
        <f t="shared" si="44"/>
        <v>16153.78</v>
      </c>
      <c r="BI33" s="250">
        <f t="shared" si="44"/>
        <v>2260688.63</v>
      </c>
      <c r="BJ33" s="250">
        <f t="shared" si="44"/>
        <v>0</v>
      </c>
      <c r="BK33" s="250">
        <f t="shared" si="44"/>
        <v>26787.77</v>
      </c>
      <c r="BL33" s="195"/>
      <c r="BM33" s="133"/>
      <c r="BN33" s="2"/>
      <c r="BO33" s="2"/>
      <c r="BP33" s="133"/>
      <c r="BQ33" s="133"/>
      <c r="BR33" s="133"/>
    </row>
    <row r="34">
      <c r="A34" s="382" t="s">
        <v>167</v>
      </c>
      <c r="B34" s="255"/>
      <c r="C34" s="256"/>
      <c r="D34" s="257"/>
      <c r="E34" s="258"/>
      <c r="F34" s="259"/>
      <c r="G34" s="260"/>
      <c r="H34" s="261"/>
      <c r="I34" s="261"/>
      <c r="J34" s="261"/>
      <c r="K34" s="262"/>
      <c r="L34" s="261"/>
      <c r="M34" s="261"/>
      <c r="N34" s="263"/>
      <c r="O34" s="264"/>
      <c r="P34" s="261"/>
      <c r="Q34" s="262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6"/>
      <c r="AD34" s="263"/>
      <c r="AE34" s="265"/>
      <c r="AF34" s="266"/>
      <c r="AG34" s="263"/>
      <c r="AH34" s="266"/>
      <c r="AI34" s="264"/>
      <c r="AJ34" s="261"/>
      <c r="AK34" s="262"/>
      <c r="AL34" s="263"/>
      <c r="AM34" s="265"/>
      <c r="AN34" s="266"/>
      <c r="AO34" s="265"/>
      <c r="AP34" s="147"/>
      <c r="AQ34" s="266"/>
      <c r="AR34" s="265"/>
      <c r="AS34" s="267"/>
      <c r="AT34" s="267"/>
      <c r="AU34" s="145"/>
      <c r="AV34" s="265"/>
      <c r="AW34" s="265"/>
      <c r="AX34" s="265"/>
      <c r="AY34" s="265"/>
      <c r="AZ34" s="268"/>
      <c r="BA34" s="269"/>
      <c r="BB34" s="265"/>
      <c r="BC34" s="265"/>
      <c r="BD34" s="265"/>
      <c r="BE34" s="265"/>
      <c r="BF34" s="265"/>
      <c r="BG34" s="265"/>
      <c r="BH34" s="265"/>
      <c r="BI34" s="147"/>
      <c r="BJ34" s="145"/>
      <c r="BK34" s="265"/>
      <c r="BL34" s="150"/>
      <c r="BM34" s="147"/>
      <c r="BN34" s="2"/>
      <c r="BO34" s="2"/>
      <c r="BP34" s="133"/>
      <c r="BQ34" s="133"/>
      <c r="BR34" s="133"/>
    </row>
    <row r="35">
      <c r="A35" s="179" t="s">
        <v>168</v>
      </c>
      <c r="B35" s="188" t="s">
        <v>169</v>
      </c>
      <c r="C35" s="153" t="s">
        <v>112</v>
      </c>
      <c r="D35" s="191" t="s">
        <v>154</v>
      </c>
      <c r="E35" s="189" t="s">
        <v>170</v>
      </c>
      <c r="F35" s="156" t="s">
        <v>115</v>
      </c>
      <c r="G35" s="220">
        <v>0.12</v>
      </c>
      <c r="H35" s="220">
        <v>0.0</v>
      </c>
      <c r="I35" s="220">
        <v>0.0</v>
      </c>
      <c r="J35" s="220">
        <v>0.0</v>
      </c>
      <c r="K35" s="270">
        <v>0.0</v>
      </c>
      <c r="L35" s="221">
        <v>25000.0</v>
      </c>
      <c r="M35" s="222"/>
      <c r="N35" s="196"/>
      <c r="O35" s="185">
        <f>sum(S35:W35)</f>
        <v>662022.685</v>
      </c>
      <c r="P35" s="171">
        <f>O35*7%</f>
        <v>46341.58795</v>
      </c>
      <c r="Q35" s="186">
        <f>O35+P35</f>
        <v>708364.2729</v>
      </c>
      <c r="R35" s="171">
        <f>SUM(AD35:AF35)*M35</f>
        <v>0</v>
      </c>
      <c r="S35" s="171">
        <f>SUM(AD35:AF35)</f>
        <v>0</v>
      </c>
      <c r="T35" s="164">
        <f>SUM(AG35:AH35)</f>
        <v>0</v>
      </c>
      <c r="U35" s="171">
        <f>SUM(AI35:AK35)</f>
        <v>128000</v>
      </c>
      <c r="V35" s="171">
        <f>SUM(AL35:AQ35)</f>
        <v>423739.8734</v>
      </c>
      <c r="W35" s="171">
        <f>ifs((AC35*G35)&gt;L35,AC35*G35,AC35=0,"0",(AC35*G35)&lt;=L35,L35)</f>
        <v>110282.8116</v>
      </c>
      <c r="X35" s="165">
        <f>SUM(AR35:AU35)</f>
        <v>403384.13</v>
      </c>
      <c r="Y35" s="165">
        <f>SUM(AV35:AZ35)</f>
        <v>75496.98</v>
      </c>
      <c r="Z35" s="165">
        <f>SUM(BF35:BH35)</f>
        <v>402547.32</v>
      </c>
      <c r="AA35" s="165">
        <f>sum(BA35:BD35)</f>
        <v>37595</v>
      </c>
      <c r="AB35" s="165">
        <f>sum(BK35)</f>
        <v>0</v>
      </c>
      <c r="AC35" s="186">
        <f>sum(AR35:BK35)</f>
        <v>919023.43</v>
      </c>
      <c r="AD35" s="167"/>
      <c r="AE35" s="17"/>
      <c r="AF35" s="168"/>
      <c r="AG35" s="167"/>
      <c r="AH35" s="172"/>
      <c r="AI35" s="185">
        <v>40000.0</v>
      </c>
      <c r="AJ35" s="271">
        <v>0.0</v>
      </c>
      <c r="AK35" s="271">
        <f>38000+50000</f>
        <v>88000</v>
      </c>
      <c r="AL35" s="185">
        <v>0.0</v>
      </c>
      <c r="AM35" s="171">
        <f>SUM(BF35:BG35)</f>
        <v>400720.35</v>
      </c>
      <c r="AN35" s="168"/>
      <c r="AO35" s="171">
        <f>24630.89/1.07</f>
        <v>23019.52336</v>
      </c>
      <c r="AP35" s="272" t="s">
        <v>171</v>
      </c>
      <c r="AQ35" s="273" t="s">
        <v>171</v>
      </c>
      <c r="AR35" s="274"/>
      <c r="AS35" s="275">
        <v>403384.13</v>
      </c>
      <c r="AT35" s="274"/>
      <c r="AU35" s="17"/>
      <c r="AV35" s="275">
        <v>8924.12</v>
      </c>
      <c r="AW35" s="275">
        <v>66572.86</v>
      </c>
      <c r="AX35" s="17"/>
      <c r="AY35" s="17"/>
      <c r="AZ35" s="276"/>
      <c r="BA35" s="233">
        <v>0.0</v>
      </c>
      <c r="BB35" s="173">
        <v>37595.0</v>
      </c>
      <c r="BC35" s="17"/>
      <c r="BD35" s="17"/>
      <c r="BE35" s="17"/>
      <c r="BF35" s="173">
        <f>402547.32-1826.97</f>
        <v>400720.35</v>
      </c>
      <c r="BG35" s="17"/>
      <c r="BH35" s="173">
        <v>1826.97</v>
      </c>
      <c r="BI35" s="277"/>
      <c r="BJ35" s="17"/>
      <c r="BK35" s="17"/>
      <c r="BL35" s="179" t="s">
        <v>98</v>
      </c>
      <c r="BM35" s="180" t="str">
        <f>IFS(BL35="","",BM35&lt;&gt;"",BM35,1*1,NOW())</f>
        <v>#REF!</v>
      </c>
      <c r="BN35" s="2"/>
      <c r="BO35" s="2"/>
      <c r="BP35" s="133"/>
      <c r="BQ35" s="133"/>
      <c r="BR35" s="133"/>
    </row>
    <row r="36">
      <c r="A36" s="383" t="s">
        <v>172</v>
      </c>
      <c r="B36" s="279"/>
      <c r="C36" s="280"/>
      <c r="D36" s="281"/>
      <c r="E36" s="282"/>
      <c r="F36" s="283"/>
      <c r="G36" s="284"/>
      <c r="H36" s="284"/>
      <c r="I36" s="284"/>
      <c r="J36" s="284"/>
      <c r="K36" s="285"/>
      <c r="L36" s="284"/>
      <c r="M36" s="284"/>
      <c r="N36" s="286"/>
      <c r="O36" s="287">
        <f t="shared" ref="O36:Q36" si="45">SUM(O35)</f>
        <v>662022.685</v>
      </c>
      <c r="P36" s="288">
        <f t="shared" si="45"/>
        <v>46341.58795</v>
      </c>
      <c r="Q36" s="289">
        <f t="shared" si="45"/>
        <v>708364.2729</v>
      </c>
      <c r="R36" s="290"/>
      <c r="S36" s="288">
        <f t="shared" ref="S36:BK36" si="46">SUM(S35)</f>
        <v>0</v>
      </c>
      <c r="T36" s="288">
        <f t="shared" si="46"/>
        <v>0</v>
      </c>
      <c r="U36" s="288">
        <f t="shared" si="46"/>
        <v>128000</v>
      </c>
      <c r="V36" s="288">
        <f t="shared" si="46"/>
        <v>423739.8734</v>
      </c>
      <c r="W36" s="288">
        <f t="shared" si="46"/>
        <v>110282.8116</v>
      </c>
      <c r="X36" s="288">
        <f t="shared" si="46"/>
        <v>403384.13</v>
      </c>
      <c r="Y36" s="288">
        <f t="shared" si="46"/>
        <v>75496.98</v>
      </c>
      <c r="Z36" s="288">
        <f t="shared" si="46"/>
        <v>402547.32</v>
      </c>
      <c r="AA36" s="288">
        <f t="shared" si="46"/>
        <v>37595</v>
      </c>
      <c r="AB36" s="288">
        <f t="shared" si="46"/>
        <v>0</v>
      </c>
      <c r="AC36" s="289">
        <f t="shared" si="46"/>
        <v>919023.43</v>
      </c>
      <c r="AD36" s="287">
        <f t="shared" si="46"/>
        <v>0</v>
      </c>
      <c r="AE36" s="288">
        <f t="shared" si="46"/>
        <v>0</v>
      </c>
      <c r="AF36" s="289">
        <f t="shared" si="46"/>
        <v>0</v>
      </c>
      <c r="AG36" s="287">
        <f t="shared" si="46"/>
        <v>0</v>
      </c>
      <c r="AH36" s="288">
        <f t="shared" si="46"/>
        <v>0</v>
      </c>
      <c r="AI36" s="287">
        <f t="shared" si="46"/>
        <v>40000</v>
      </c>
      <c r="AJ36" s="288">
        <f t="shared" si="46"/>
        <v>0</v>
      </c>
      <c r="AK36" s="289">
        <f t="shared" si="46"/>
        <v>88000</v>
      </c>
      <c r="AL36" s="287">
        <f t="shared" si="46"/>
        <v>0</v>
      </c>
      <c r="AM36" s="288">
        <f t="shared" si="46"/>
        <v>400720.35</v>
      </c>
      <c r="AN36" s="289">
        <f t="shared" si="46"/>
        <v>0</v>
      </c>
      <c r="AO36" s="288">
        <f t="shared" si="46"/>
        <v>23019.52336</v>
      </c>
      <c r="AP36" s="288">
        <f t="shared" si="46"/>
        <v>0</v>
      </c>
      <c r="AQ36" s="289">
        <f t="shared" si="46"/>
        <v>0</v>
      </c>
      <c r="AR36" s="288">
        <f t="shared" si="46"/>
        <v>0</v>
      </c>
      <c r="AS36" s="250">
        <f t="shared" si="46"/>
        <v>403384.13</v>
      </c>
      <c r="AT36" s="250">
        <f t="shared" si="46"/>
        <v>0</v>
      </c>
      <c r="AU36" s="288">
        <f t="shared" si="46"/>
        <v>0</v>
      </c>
      <c r="AV36" s="288">
        <f t="shared" si="46"/>
        <v>8924.12</v>
      </c>
      <c r="AW36" s="288">
        <f t="shared" si="46"/>
        <v>66572.86</v>
      </c>
      <c r="AX36" s="288">
        <f t="shared" si="46"/>
        <v>0</v>
      </c>
      <c r="AY36" s="288">
        <f t="shared" si="46"/>
        <v>0</v>
      </c>
      <c r="AZ36" s="291">
        <f t="shared" si="46"/>
        <v>0</v>
      </c>
      <c r="BA36" s="292">
        <f t="shared" si="46"/>
        <v>0</v>
      </c>
      <c r="BB36" s="288">
        <f t="shared" si="46"/>
        <v>37595</v>
      </c>
      <c r="BC36" s="288">
        <f t="shared" si="46"/>
        <v>0</v>
      </c>
      <c r="BD36" s="288">
        <f t="shared" si="46"/>
        <v>0</v>
      </c>
      <c r="BE36" s="288">
        <f t="shared" si="46"/>
        <v>0</v>
      </c>
      <c r="BF36" s="288">
        <f t="shared" si="46"/>
        <v>400720.35</v>
      </c>
      <c r="BG36" s="288">
        <f t="shared" si="46"/>
        <v>0</v>
      </c>
      <c r="BH36" s="288">
        <f t="shared" si="46"/>
        <v>1826.97</v>
      </c>
      <c r="BI36" s="288">
        <f t="shared" si="46"/>
        <v>0</v>
      </c>
      <c r="BJ36" s="288">
        <f t="shared" si="46"/>
        <v>0</v>
      </c>
      <c r="BK36" s="288">
        <f t="shared" si="46"/>
        <v>0</v>
      </c>
      <c r="BL36" s="195"/>
      <c r="BM36" s="2"/>
      <c r="BN36" s="2"/>
      <c r="BO36" s="2"/>
      <c r="BP36" s="133"/>
      <c r="BQ36" s="133"/>
      <c r="BR36" s="133"/>
    </row>
    <row r="37">
      <c r="A37" s="377" t="s">
        <v>173</v>
      </c>
      <c r="B37" s="135"/>
      <c r="C37" s="136"/>
      <c r="D37" s="137"/>
      <c r="E37" s="138"/>
      <c r="F37" s="139"/>
      <c r="G37" s="140"/>
      <c r="H37" s="141"/>
      <c r="I37" s="141"/>
      <c r="J37" s="141"/>
      <c r="K37" s="142"/>
      <c r="L37" s="141"/>
      <c r="M37" s="141"/>
      <c r="N37" s="143"/>
      <c r="O37" s="144"/>
      <c r="P37" s="141"/>
      <c r="Q37" s="142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6"/>
      <c r="AD37" s="143"/>
      <c r="AE37" s="145"/>
      <c r="AF37" s="146"/>
      <c r="AG37" s="143"/>
      <c r="AH37" s="146"/>
      <c r="AI37" s="144"/>
      <c r="AJ37" s="141"/>
      <c r="AK37" s="142"/>
      <c r="AL37" s="143"/>
      <c r="AM37" s="145"/>
      <c r="AN37" s="146"/>
      <c r="AO37" s="145"/>
      <c r="AP37" s="147"/>
      <c r="AQ37" s="146"/>
      <c r="AR37" s="145"/>
      <c r="AS37" s="145"/>
      <c r="AT37" s="145"/>
      <c r="AU37" s="147"/>
      <c r="AV37" s="145"/>
      <c r="AW37" s="145"/>
      <c r="AX37" s="145"/>
      <c r="AY37" s="145"/>
      <c r="AZ37" s="148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50"/>
      <c r="BM37" s="147"/>
      <c r="BN37" s="2"/>
      <c r="BO37" s="2"/>
      <c r="BP37" s="133"/>
      <c r="BQ37" s="133"/>
      <c r="BR37" s="133"/>
    </row>
    <row r="38">
      <c r="A38" s="179" t="s">
        <v>174</v>
      </c>
      <c r="B38" s="152" t="s">
        <v>175</v>
      </c>
      <c r="C38" s="190" t="s">
        <v>153</v>
      </c>
      <c r="D38" s="182" t="s">
        <v>176</v>
      </c>
      <c r="E38" s="155" t="s">
        <v>177</v>
      </c>
      <c r="F38" s="156" t="s">
        <v>109</v>
      </c>
      <c r="G38" s="220">
        <v>0.15</v>
      </c>
      <c r="H38" s="220">
        <v>0.0</v>
      </c>
      <c r="I38" s="220">
        <v>0.0</v>
      </c>
      <c r="J38" s="220">
        <v>0.0</v>
      </c>
      <c r="K38" s="270">
        <v>0.0</v>
      </c>
      <c r="L38" s="221">
        <v>15000.0</v>
      </c>
      <c r="M38" s="222"/>
      <c r="N38" s="238"/>
      <c r="O38" s="184">
        <f t="shared" ref="O38:O40" si="47">sum(S38:W38)</f>
        <v>22978.86</v>
      </c>
      <c r="P38" s="164">
        <f t="shared" ref="P38:P74" si="48">O38*7%</f>
        <v>1608.5202</v>
      </c>
      <c r="Q38" s="166">
        <f t="shared" ref="Q38:Q74" si="49">O38+P38</f>
        <v>24587.3802</v>
      </c>
      <c r="R38" s="164">
        <f t="shared" ref="R38:R40" si="50">SUM(AD38:AF38)*M38</f>
        <v>0</v>
      </c>
      <c r="S38" s="164">
        <f t="shared" ref="S38:S74" si="51">SUM(AD38:AF38)</f>
        <v>0</v>
      </c>
      <c r="T38" s="164">
        <f t="shared" ref="T38:T74" si="52">SUM(AG38:AH38)</f>
        <v>0</v>
      </c>
      <c r="U38" s="164">
        <f t="shared" ref="U38:U72" si="53">SUM(AI38:AK38)</f>
        <v>0</v>
      </c>
      <c r="V38" s="164">
        <f t="shared" ref="V38:V65" si="54">SUM(AL38:AN38)</f>
        <v>7978.86</v>
      </c>
      <c r="W38" s="164">
        <f t="shared" ref="W38:W44" si="55">ifs((AC38*G38)&gt;L38,AC38*G38,AC38=0,"0",(AC38*G38)&lt;=L38,L38)</f>
        <v>15000</v>
      </c>
      <c r="X38" s="165">
        <f t="shared" ref="X38:X74" si="56">SUM(AR38:AU38)</f>
        <v>51343.14</v>
      </c>
      <c r="Y38" s="165">
        <f t="shared" ref="Y38:Y74" si="57">SUM(AV38:AZ38)</f>
        <v>35056.34</v>
      </c>
      <c r="Z38" s="165">
        <f t="shared" ref="Z38:Z74" si="58">SUM(BF38:BH38)</f>
        <v>0</v>
      </c>
      <c r="AA38" s="165">
        <f t="shared" ref="AA38:AA74" si="59">sum(BA38:BD38)</f>
        <v>7978.86</v>
      </c>
      <c r="AB38" s="165">
        <f t="shared" ref="AB38:AB74" si="60">sum(BK38)</f>
        <v>0</v>
      </c>
      <c r="AC38" s="166">
        <f t="shared" ref="AC38:AC74" si="61">sum(AR38:BK38)</f>
        <v>94378.34</v>
      </c>
      <c r="AD38" s="167"/>
      <c r="AE38" s="17"/>
      <c r="AF38" s="168"/>
      <c r="AG38" s="167"/>
      <c r="AH38" s="168"/>
      <c r="AI38" s="167"/>
      <c r="AJ38" s="17"/>
      <c r="AK38" s="168"/>
      <c r="AL38" s="185">
        <f>SUM(BA38:BD38)</f>
        <v>7978.86</v>
      </c>
      <c r="AM38" s="277"/>
      <c r="AN38" s="293"/>
      <c r="AO38" s="277"/>
      <c r="AP38" s="277"/>
      <c r="AQ38" s="293"/>
      <c r="AR38" s="277"/>
      <c r="AS38" s="175">
        <v>28167.35</v>
      </c>
      <c r="AT38" s="277"/>
      <c r="AU38" s="175">
        <v>23175.79</v>
      </c>
      <c r="AV38" s="175">
        <v>14060.23</v>
      </c>
      <c r="AW38" s="175">
        <v>12198.95</v>
      </c>
      <c r="AX38" s="175">
        <v>8797.16</v>
      </c>
      <c r="AY38" s="277"/>
      <c r="AZ38" s="294"/>
      <c r="BA38" s="295">
        <v>7978.86</v>
      </c>
      <c r="BB38" s="296">
        <v>0.0</v>
      </c>
      <c r="BC38" s="187"/>
      <c r="BD38" s="17"/>
      <c r="BE38" s="17"/>
      <c r="BF38" s="17"/>
      <c r="BG38" s="17"/>
      <c r="BH38" s="17"/>
      <c r="BI38" s="17"/>
      <c r="BJ38" s="17"/>
      <c r="BK38" s="17"/>
      <c r="BL38" s="179" t="s">
        <v>98</v>
      </c>
      <c r="BM38" s="180" t="str">
        <f t="shared" ref="BM38:BM52" si="62">IFS(BL38="","",BM38&lt;&gt;"",BM38,1*1,NOW())</f>
        <v>#REF!</v>
      </c>
      <c r="BN38" s="2"/>
      <c r="BO38" s="2"/>
      <c r="BP38" s="133"/>
      <c r="BQ38" s="133"/>
      <c r="BR38" s="133"/>
    </row>
    <row r="39">
      <c r="A39" s="179" t="s">
        <v>178</v>
      </c>
      <c r="B39" s="188" t="s">
        <v>179</v>
      </c>
      <c r="C39" s="190" t="s">
        <v>153</v>
      </c>
      <c r="D39" s="191" t="s">
        <v>180</v>
      </c>
      <c r="E39" s="219" t="s">
        <v>177</v>
      </c>
      <c r="F39" s="239" t="s">
        <v>115</v>
      </c>
      <c r="G39" s="297">
        <v>0.12</v>
      </c>
      <c r="H39" s="220">
        <v>0.0</v>
      </c>
      <c r="I39" s="220">
        <v>0.0</v>
      </c>
      <c r="J39" s="220">
        <v>0.0</v>
      </c>
      <c r="K39" s="270">
        <v>0.0</v>
      </c>
      <c r="L39" s="221">
        <v>20000.0</v>
      </c>
      <c r="M39" s="157">
        <v>0.0</v>
      </c>
      <c r="N39" s="298"/>
      <c r="O39" s="185">
        <f t="shared" si="47"/>
        <v>0</v>
      </c>
      <c r="P39" s="171">
        <f t="shared" si="48"/>
        <v>0</v>
      </c>
      <c r="Q39" s="186">
        <f t="shared" si="49"/>
        <v>0</v>
      </c>
      <c r="R39" s="164">
        <f t="shared" si="50"/>
        <v>0</v>
      </c>
      <c r="S39" s="171">
        <f t="shared" si="51"/>
        <v>0</v>
      </c>
      <c r="T39" s="171">
        <f t="shared" si="52"/>
        <v>0</v>
      </c>
      <c r="U39" s="171">
        <f t="shared" si="53"/>
        <v>0</v>
      </c>
      <c r="V39" s="171">
        <f t="shared" si="54"/>
        <v>0</v>
      </c>
      <c r="W39" s="171" t="str">
        <f t="shared" si="55"/>
        <v>0</v>
      </c>
      <c r="X39" s="165">
        <f t="shared" si="56"/>
        <v>0</v>
      </c>
      <c r="Y39" s="165">
        <f t="shared" si="57"/>
        <v>0</v>
      </c>
      <c r="Z39" s="165">
        <f t="shared" si="58"/>
        <v>0</v>
      </c>
      <c r="AA39" s="165">
        <f t="shared" si="59"/>
        <v>0</v>
      </c>
      <c r="AB39" s="165">
        <f t="shared" si="60"/>
        <v>0</v>
      </c>
      <c r="AC39" s="186">
        <f t="shared" si="61"/>
        <v>0</v>
      </c>
      <c r="AD39" s="167"/>
      <c r="AE39" s="17"/>
      <c r="AF39" s="168"/>
      <c r="AG39" s="167"/>
      <c r="AH39" s="168"/>
      <c r="AI39" s="167"/>
      <c r="AJ39" s="17"/>
      <c r="AK39" s="168"/>
      <c r="AL39" s="167"/>
      <c r="AM39" s="171">
        <f>SUM(BF39:BG39)</f>
        <v>0</v>
      </c>
      <c r="AN39" s="168"/>
      <c r="AO39" s="17"/>
      <c r="AP39" s="17"/>
      <c r="AQ39" s="168"/>
      <c r="AR39" s="17"/>
      <c r="AS39" s="17"/>
      <c r="AT39" s="17"/>
      <c r="AU39" s="17"/>
      <c r="AV39" s="133"/>
      <c r="AW39" s="133"/>
      <c r="AX39" s="17"/>
      <c r="AY39" s="17"/>
      <c r="AZ39" s="176"/>
      <c r="BA39" s="177"/>
      <c r="BB39" s="17"/>
      <c r="BC39" s="187"/>
      <c r="BD39" s="17"/>
      <c r="BE39" s="17"/>
      <c r="BF39" s="17"/>
      <c r="BG39" s="17"/>
      <c r="BH39" s="17"/>
      <c r="BI39" s="17"/>
      <c r="BJ39" s="17"/>
      <c r="BK39" s="17"/>
      <c r="BL39" s="195"/>
      <c r="BM39" s="181" t="str">
        <f t="shared" si="62"/>
        <v/>
      </c>
      <c r="BN39" s="2"/>
      <c r="BO39" s="2"/>
      <c r="BP39" s="133"/>
      <c r="BQ39" s="133"/>
      <c r="BR39" s="133"/>
    </row>
    <row r="40">
      <c r="A40" s="179" t="s">
        <v>181</v>
      </c>
      <c r="B40" s="152" t="s">
        <v>182</v>
      </c>
      <c r="C40" s="190" t="s">
        <v>153</v>
      </c>
      <c r="D40" s="219" t="s">
        <v>158</v>
      </c>
      <c r="E40" s="299"/>
      <c r="F40" s="239" t="s">
        <v>109</v>
      </c>
      <c r="G40" s="300">
        <v>0.15</v>
      </c>
      <c r="H40" s="301">
        <v>0.0</v>
      </c>
      <c r="I40" s="301">
        <v>0.0</v>
      </c>
      <c r="J40" s="301">
        <v>0.0</v>
      </c>
      <c r="K40" s="302">
        <v>0.0</v>
      </c>
      <c r="L40" s="303">
        <v>35000.0</v>
      </c>
      <c r="M40" s="222"/>
      <c r="N40" s="238"/>
      <c r="O40" s="184">
        <f t="shared" si="47"/>
        <v>41535.5205</v>
      </c>
      <c r="P40" s="164">
        <f t="shared" si="48"/>
        <v>2907.486435</v>
      </c>
      <c r="Q40" s="166">
        <f t="shared" si="49"/>
        <v>44443.00694</v>
      </c>
      <c r="R40" s="164">
        <f t="shared" si="50"/>
        <v>0</v>
      </c>
      <c r="S40" s="164">
        <f t="shared" si="51"/>
        <v>0</v>
      </c>
      <c r="T40" s="164">
        <f t="shared" si="52"/>
        <v>0</v>
      </c>
      <c r="U40" s="164">
        <f t="shared" si="53"/>
        <v>0</v>
      </c>
      <c r="V40" s="164">
        <f t="shared" si="54"/>
        <v>0</v>
      </c>
      <c r="W40" s="164">
        <f t="shared" si="55"/>
        <v>41535.5205</v>
      </c>
      <c r="X40" s="165">
        <f t="shared" si="56"/>
        <v>112492.95</v>
      </c>
      <c r="Y40" s="165">
        <f t="shared" si="57"/>
        <v>32765.81</v>
      </c>
      <c r="Z40" s="165">
        <f t="shared" si="58"/>
        <v>106038.4</v>
      </c>
      <c r="AA40" s="165">
        <f t="shared" si="59"/>
        <v>25606.31</v>
      </c>
      <c r="AB40" s="165">
        <f t="shared" si="60"/>
        <v>0</v>
      </c>
      <c r="AC40" s="166">
        <f t="shared" si="61"/>
        <v>276903.47</v>
      </c>
      <c r="AD40" s="167"/>
      <c r="AE40" s="17"/>
      <c r="AF40" s="168"/>
      <c r="AG40" s="167"/>
      <c r="AH40" s="168"/>
      <c r="AI40" s="167"/>
      <c r="AJ40" s="17"/>
      <c r="AK40" s="168"/>
      <c r="AL40" s="304" t="s">
        <v>183</v>
      </c>
      <c r="AM40" s="305" t="s">
        <v>183</v>
      </c>
      <c r="AN40" s="306" t="s">
        <v>183</v>
      </c>
      <c r="AO40" s="17"/>
      <c r="AP40" s="17"/>
      <c r="AQ40" s="168"/>
      <c r="AR40" s="173">
        <v>15677.23</v>
      </c>
      <c r="AS40" s="173">
        <v>95016.1</v>
      </c>
      <c r="AT40" s="173">
        <v>1799.62</v>
      </c>
      <c r="AU40" s="17"/>
      <c r="AV40" s="173">
        <f>21341.97+5983.38</f>
        <v>27325.35</v>
      </c>
      <c r="AW40" s="173">
        <v>5440.46</v>
      </c>
      <c r="AX40" s="17"/>
      <c r="AY40" s="17"/>
      <c r="AZ40" s="176"/>
      <c r="BA40" s="307">
        <v>10788.44</v>
      </c>
      <c r="BB40" s="308">
        <v>14817.87</v>
      </c>
      <c r="BC40" s="187"/>
      <c r="BD40" s="17"/>
      <c r="BE40" s="17"/>
      <c r="BF40" s="308">
        <f>104926.84+1111.56 </f>
        <v>106038.4</v>
      </c>
      <c r="BG40" s="17"/>
      <c r="BH40" s="17"/>
      <c r="BI40" s="17"/>
      <c r="BJ40" s="17"/>
      <c r="BK40" s="17"/>
      <c r="BL40" s="179" t="s">
        <v>98</v>
      </c>
      <c r="BM40" s="180" t="str">
        <f t="shared" si="62"/>
        <v>#REF!</v>
      </c>
      <c r="BN40" s="2"/>
      <c r="BO40" s="2"/>
      <c r="BP40" s="133"/>
      <c r="BQ40" s="133"/>
      <c r="BR40" s="133"/>
    </row>
    <row r="41">
      <c r="A41" s="179" t="s">
        <v>184</v>
      </c>
      <c r="B41" s="188" t="s">
        <v>185</v>
      </c>
      <c r="C41" s="190" t="s">
        <v>112</v>
      </c>
      <c r="D41" s="191" t="s">
        <v>164</v>
      </c>
      <c r="E41" s="189" t="s">
        <v>186</v>
      </c>
      <c r="F41" s="239" t="s">
        <v>109</v>
      </c>
      <c r="G41" s="297">
        <v>0.1</v>
      </c>
      <c r="H41" s="220">
        <v>0.0</v>
      </c>
      <c r="I41" s="220">
        <v>0.0</v>
      </c>
      <c r="J41" s="220">
        <v>0.0</v>
      </c>
      <c r="K41" s="270">
        <v>0.0</v>
      </c>
      <c r="L41" s="220">
        <v>0.0</v>
      </c>
      <c r="M41" s="3"/>
      <c r="N41" s="160"/>
      <c r="O41" s="185">
        <f t="shared" ref="O41:O42" si="63">sum(R41:W41)</f>
        <v>282351.899</v>
      </c>
      <c r="P41" s="171">
        <f t="shared" si="48"/>
        <v>19764.63293</v>
      </c>
      <c r="Q41" s="186">
        <f t="shared" si="49"/>
        <v>302116.5319</v>
      </c>
      <c r="R41" s="164">
        <f>SUM(AD41:AH41)*M41</f>
        <v>0</v>
      </c>
      <c r="S41" s="171">
        <f t="shared" si="51"/>
        <v>0</v>
      </c>
      <c r="T41" s="171">
        <f t="shared" si="52"/>
        <v>0</v>
      </c>
      <c r="U41" s="171">
        <f t="shared" si="53"/>
        <v>0</v>
      </c>
      <c r="V41" s="171">
        <f t="shared" si="54"/>
        <v>138304.55</v>
      </c>
      <c r="W41" s="171">
        <f t="shared" si="55"/>
        <v>144047.349</v>
      </c>
      <c r="X41" s="165">
        <f t="shared" si="56"/>
        <v>1051576.39</v>
      </c>
      <c r="Y41" s="165">
        <f t="shared" si="57"/>
        <v>249814.98</v>
      </c>
      <c r="Z41" s="165">
        <f t="shared" si="58"/>
        <v>139082.12</v>
      </c>
      <c r="AA41" s="165">
        <f t="shared" si="59"/>
        <v>0</v>
      </c>
      <c r="AB41" s="165">
        <f t="shared" si="60"/>
        <v>0</v>
      </c>
      <c r="AC41" s="186">
        <f t="shared" si="61"/>
        <v>1440473.49</v>
      </c>
      <c r="AD41" s="160"/>
      <c r="AE41" s="133"/>
      <c r="AF41" s="172"/>
      <c r="AG41" s="160"/>
      <c r="AH41" s="172"/>
      <c r="AI41" s="167"/>
      <c r="AJ41" s="17"/>
      <c r="AK41" s="168"/>
      <c r="AL41" s="167"/>
      <c r="AM41" s="171">
        <f t="shared" ref="AM41:AM42" si="64">SUM(BF41:BG41)</f>
        <v>138304.55</v>
      </c>
      <c r="AN41" s="168"/>
      <c r="AO41" s="17"/>
      <c r="AP41" s="17"/>
      <c r="AQ41" s="168"/>
      <c r="AR41" s="173">
        <v>38369.32</v>
      </c>
      <c r="AS41" s="173">
        <v>646682.47</v>
      </c>
      <c r="AT41" s="173">
        <v>17885.16</v>
      </c>
      <c r="AU41" s="173">
        <v>348639.44</v>
      </c>
      <c r="AV41" s="173">
        <f>33351.66+ 171995 
</f>
        <v>205346.66</v>
      </c>
      <c r="AW41" s="173">
        <v>25772.41</v>
      </c>
      <c r="AX41" s="173">
        <v>18695.91</v>
      </c>
      <c r="AY41" s="17"/>
      <c r="AZ41" s="176"/>
      <c r="BA41" s="177"/>
      <c r="BB41" s="17"/>
      <c r="BC41" s="187"/>
      <c r="BD41" s="17"/>
      <c r="BE41" s="17"/>
      <c r="BF41" s="173">
        <v>138304.55</v>
      </c>
      <c r="BG41" s="17"/>
      <c r="BH41" s="173">
        <v>777.57</v>
      </c>
      <c r="BI41" s="17"/>
      <c r="BJ41" s="17"/>
      <c r="BK41" s="17"/>
      <c r="BL41" s="179" t="s">
        <v>98</v>
      </c>
      <c r="BM41" s="180" t="str">
        <f t="shared" si="62"/>
        <v>#REF!</v>
      </c>
      <c r="BN41" s="2"/>
      <c r="BO41" s="171">
        <v>89686.52</v>
      </c>
      <c r="BP41" s="133"/>
      <c r="BQ41" s="133"/>
      <c r="BR41" s="133"/>
    </row>
    <row r="42">
      <c r="A42" s="179" t="s">
        <v>187</v>
      </c>
      <c r="B42" s="188" t="s">
        <v>185</v>
      </c>
      <c r="C42" s="190" t="s">
        <v>112</v>
      </c>
      <c r="D42" s="191" t="s">
        <v>164</v>
      </c>
      <c r="E42" s="189" t="s">
        <v>186</v>
      </c>
      <c r="F42" s="239" t="s">
        <v>109</v>
      </c>
      <c r="G42" s="297">
        <v>0.1</v>
      </c>
      <c r="H42" s="220">
        <v>0.0</v>
      </c>
      <c r="I42" s="220">
        <v>0.0</v>
      </c>
      <c r="J42" s="220">
        <v>0.0</v>
      </c>
      <c r="K42" s="270">
        <v>0.0</v>
      </c>
      <c r="L42" s="220">
        <v>0.0</v>
      </c>
      <c r="M42" s="3"/>
      <c r="N42" s="160"/>
      <c r="O42" s="185">
        <f t="shared" si="63"/>
        <v>780566.617</v>
      </c>
      <c r="P42" s="171">
        <f t="shared" si="48"/>
        <v>54639.66319</v>
      </c>
      <c r="Q42" s="186">
        <f t="shared" si="49"/>
        <v>835206.2802</v>
      </c>
      <c r="R42" s="164">
        <f t="shared" ref="R42:R74" si="65">SUM(AD42:AF42)*M42</f>
        <v>0</v>
      </c>
      <c r="S42" s="171">
        <f t="shared" si="51"/>
        <v>0</v>
      </c>
      <c r="T42" s="171">
        <f t="shared" si="52"/>
        <v>0</v>
      </c>
      <c r="U42" s="171">
        <f t="shared" si="53"/>
        <v>0</v>
      </c>
      <c r="V42" s="171">
        <f t="shared" si="54"/>
        <v>674070.65</v>
      </c>
      <c r="W42" s="164">
        <f t="shared" si="55"/>
        <v>106495.967</v>
      </c>
      <c r="X42" s="165">
        <f t="shared" si="56"/>
        <v>290186.71</v>
      </c>
      <c r="Y42" s="165">
        <f t="shared" si="57"/>
        <v>65924.69</v>
      </c>
      <c r="Z42" s="165">
        <f t="shared" si="58"/>
        <v>708848.27</v>
      </c>
      <c r="AA42" s="165">
        <f t="shared" si="59"/>
        <v>0</v>
      </c>
      <c r="AB42" s="165">
        <f t="shared" si="60"/>
        <v>0</v>
      </c>
      <c r="AC42" s="186">
        <f t="shared" si="61"/>
        <v>1064959.67</v>
      </c>
      <c r="AD42" s="160"/>
      <c r="AE42" s="133"/>
      <c r="AF42" s="172"/>
      <c r="AG42" s="167"/>
      <c r="AH42" s="168"/>
      <c r="AI42" s="167"/>
      <c r="AJ42" s="17"/>
      <c r="AK42" s="168"/>
      <c r="AL42" s="185">
        <f t="shared" ref="AL42:AL43" si="66">SUM(BA42:BD42)</f>
        <v>0</v>
      </c>
      <c r="AM42" s="171">
        <f t="shared" si="64"/>
        <v>674070.65</v>
      </c>
      <c r="AN42" s="168"/>
      <c r="AO42" s="17"/>
      <c r="AP42" s="17"/>
      <c r="AQ42" s="168"/>
      <c r="AR42" s="17"/>
      <c r="AS42" s="173">
        <v>230163.64</v>
      </c>
      <c r="AT42" s="17"/>
      <c r="AU42" s="173">
        <v>60023.07</v>
      </c>
      <c r="AV42" s="173">
        <f>292.21+ 37419.74 
</f>
        <v>37711.95</v>
      </c>
      <c r="AW42" s="173">
        <v>20578.67</v>
      </c>
      <c r="AX42" s="173">
        <v>7634.07</v>
      </c>
      <c r="AY42" s="17"/>
      <c r="AZ42" s="176"/>
      <c r="BA42" s="233">
        <v>0.0</v>
      </c>
      <c r="BB42" s="171">
        <v>0.0</v>
      </c>
      <c r="BC42" s="187"/>
      <c r="BD42" s="17"/>
      <c r="BE42" s="17"/>
      <c r="BF42" s="173">
        <v>674070.6499999999</v>
      </c>
      <c r="BG42" s="17"/>
      <c r="BH42" s="173">
        <v>34777.62</v>
      </c>
      <c r="BI42" s="17"/>
      <c r="BJ42" s="17"/>
      <c r="BK42" s="17"/>
      <c r="BL42" s="151" t="s">
        <v>98</v>
      </c>
      <c r="BM42" s="180" t="str">
        <f t="shared" si="62"/>
        <v>#REF!</v>
      </c>
      <c r="BN42" s="133"/>
      <c r="BO42" s="171">
        <v>399615.45</v>
      </c>
      <c r="BP42" s="133"/>
      <c r="BQ42" s="133"/>
      <c r="BR42" s="133"/>
    </row>
    <row r="43">
      <c r="A43" s="179" t="s">
        <v>188</v>
      </c>
      <c r="B43" s="152" t="s">
        <v>189</v>
      </c>
      <c r="C43" s="190" t="s">
        <v>153</v>
      </c>
      <c r="D43" s="219" t="s">
        <v>107</v>
      </c>
      <c r="E43" s="309"/>
      <c r="F43" s="239" t="s">
        <v>109</v>
      </c>
      <c r="G43" s="297">
        <v>0.1</v>
      </c>
      <c r="H43" s="157">
        <v>0.0</v>
      </c>
      <c r="I43" s="157">
        <v>0.0</v>
      </c>
      <c r="J43" s="157">
        <v>0.0</v>
      </c>
      <c r="K43" s="158">
        <v>0.0</v>
      </c>
      <c r="L43" s="159">
        <v>40000.0</v>
      </c>
      <c r="M43" s="222"/>
      <c r="N43" s="160"/>
      <c r="O43" s="185">
        <f t="shared" ref="O43:O74" si="67">sum(S43:W43)</f>
        <v>333513.427</v>
      </c>
      <c r="P43" s="171">
        <f t="shared" si="48"/>
        <v>23345.93989</v>
      </c>
      <c r="Q43" s="186">
        <f t="shared" si="49"/>
        <v>356859.3669</v>
      </c>
      <c r="R43" s="164">
        <f t="shared" si="65"/>
        <v>0</v>
      </c>
      <c r="S43" s="171">
        <f t="shared" si="51"/>
        <v>0</v>
      </c>
      <c r="T43" s="171">
        <f t="shared" si="52"/>
        <v>0</v>
      </c>
      <c r="U43" s="171">
        <f t="shared" si="53"/>
        <v>0</v>
      </c>
      <c r="V43" s="171">
        <f t="shared" si="54"/>
        <v>227042.7</v>
      </c>
      <c r="W43" s="164">
        <f t="shared" si="55"/>
        <v>106470.727</v>
      </c>
      <c r="X43" s="165">
        <f t="shared" si="56"/>
        <v>515784.74</v>
      </c>
      <c r="Y43" s="165">
        <f t="shared" si="57"/>
        <v>73907.75</v>
      </c>
      <c r="Z43" s="165">
        <f t="shared" si="58"/>
        <v>164610.07</v>
      </c>
      <c r="AA43" s="165">
        <f t="shared" si="59"/>
        <v>62432.63</v>
      </c>
      <c r="AB43" s="165">
        <f t="shared" si="60"/>
        <v>0</v>
      </c>
      <c r="AC43" s="186">
        <f t="shared" si="61"/>
        <v>1064707.27</v>
      </c>
      <c r="AD43" s="167"/>
      <c r="AE43" s="17"/>
      <c r="AF43" s="168"/>
      <c r="AG43" s="167"/>
      <c r="AH43" s="168"/>
      <c r="AI43" s="167"/>
      <c r="AJ43" s="17"/>
      <c r="AK43" s="168"/>
      <c r="AL43" s="169">
        <f t="shared" si="66"/>
        <v>62432.63</v>
      </c>
      <c r="AM43" s="171">
        <f>SUM(BF43:BH43)</f>
        <v>164610.07</v>
      </c>
      <c r="AN43" s="168"/>
      <c r="AO43" s="17"/>
      <c r="AP43" s="133"/>
      <c r="AQ43" s="168"/>
      <c r="AR43" s="173">
        <v>35567.92</v>
      </c>
      <c r="AS43" s="173">
        <v>274592.71</v>
      </c>
      <c r="AT43" s="17"/>
      <c r="AU43" s="173">
        <v>205624.11</v>
      </c>
      <c r="AV43" s="173">
        <f>24460.09+21991.29</f>
        <v>46451.38</v>
      </c>
      <c r="AW43" s="173">
        <v>15297.13</v>
      </c>
      <c r="AX43" s="173">
        <v>12159.24</v>
      </c>
      <c r="AY43" s="17"/>
      <c r="AZ43" s="176"/>
      <c r="BA43" s="17"/>
      <c r="BB43" s="173">
        <v>62432.63</v>
      </c>
      <c r="BC43" s="187"/>
      <c r="BD43" s="17"/>
      <c r="BE43" s="17"/>
      <c r="BF43" s="173">
        <f>135249.4+28865.19</f>
        <v>164114.59</v>
      </c>
      <c r="BG43" s="17"/>
      <c r="BH43" s="173">
        <v>495.48</v>
      </c>
      <c r="BI43" s="173">
        <v>247972.08</v>
      </c>
      <c r="BJ43" s="17"/>
      <c r="BK43" s="17"/>
      <c r="BL43" s="179" t="s">
        <v>98</v>
      </c>
      <c r="BM43" s="180" t="str">
        <f t="shared" si="62"/>
        <v>#REF!</v>
      </c>
      <c r="BN43" s="133"/>
      <c r="BO43" s="133"/>
      <c r="BP43" s="133"/>
      <c r="BQ43" s="133"/>
      <c r="BR43" s="133"/>
    </row>
    <row r="44">
      <c r="A44" s="179" t="s">
        <v>190</v>
      </c>
      <c r="B44" s="152" t="s">
        <v>191</v>
      </c>
      <c r="C44" s="234"/>
      <c r="D44" s="219" t="s">
        <v>192</v>
      </c>
      <c r="E44" s="310"/>
      <c r="F44" s="239" t="s">
        <v>109</v>
      </c>
      <c r="G44" s="297">
        <v>0.15</v>
      </c>
      <c r="H44" s="157">
        <v>0.0</v>
      </c>
      <c r="I44" s="157">
        <v>0.0</v>
      </c>
      <c r="J44" s="157">
        <v>0.0</v>
      </c>
      <c r="K44" s="158">
        <v>0.0</v>
      </c>
      <c r="L44" s="159">
        <v>65000.0</v>
      </c>
      <c r="M44" s="222"/>
      <c r="N44" s="195"/>
      <c r="O44" s="185">
        <f t="shared" si="67"/>
        <v>0</v>
      </c>
      <c r="P44" s="171">
        <f t="shared" si="48"/>
        <v>0</v>
      </c>
      <c r="Q44" s="186">
        <f t="shared" si="49"/>
        <v>0</v>
      </c>
      <c r="R44" s="164">
        <f t="shared" si="65"/>
        <v>0</v>
      </c>
      <c r="S44" s="171">
        <f t="shared" si="51"/>
        <v>0</v>
      </c>
      <c r="T44" s="171">
        <f t="shared" si="52"/>
        <v>0</v>
      </c>
      <c r="U44" s="171">
        <f t="shared" si="53"/>
        <v>0</v>
      </c>
      <c r="V44" s="171">
        <f t="shared" si="54"/>
        <v>0</v>
      </c>
      <c r="W44" s="164" t="str">
        <f t="shared" si="55"/>
        <v>0</v>
      </c>
      <c r="X44" s="165">
        <f t="shared" si="56"/>
        <v>0</v>
      </c>
      <c r="Y44" s="165">
        <f t="shared" si="57"/>
        <v>0</v>
      </c>
      <c r="Z44" s="165">
        <f t="shared" si="58"/>
        <v>0</v>
      </c>
      <c r="AA44" s="165">
        <f t="shared" si="59"/>
        <v>0</v>
      </c>
      <c r="AB44" s="165">
        <f t="shared" si="60"/>
        <v>0</v>
      </c>
      <c r="AC44" s="186">
        <f t="shared" si="61"/>
        <v>0</v>
      </c>
      <c r="AD44" s="167"/>
      <c r="AE44" s="17"/>
      <c r="AF44" s="168"/>
      <c r="AG44" s="167"/>
      <c r="AH44" s="168"/>
      <c r="AI44" s="167"/>
      <c r="AJ44" s="17"/>
      <c r="AK44" s="168"/>
      <c r="AL44" s="304" t="s">
        <v>183</v>
      </c>
      <c r="AM44" s="305" t="s">
        <v>183</v>
      </c>
      <c r="AN44" s="306" t="s">
        <v>183</v>
      </c>
      <c r="AO44" s="17"/>
      <c r="AP44" s="17"/>
      <c r="AQ44" s="168"/>
      <c r="AR44" s="17"/>
      <c r="AS44" s="133"/>
      <c r="AT44" s="17"/>
      <c r="AU44" s="17"/>
      <c r="AV44" s="133"/>
      <c r="AW44" s="17"/>
      <c r="AX44" s="133"/>
      <c r="AY44" s="17"/>
      <c r="AZ44" s="176"/>
      <c r="BA44" s="177"/>
      <c r="BB44" s="133"/>
      <c r="BC44" s="133"/>
      <c r="BD44" s="17"/>
      <c r="BE44" s="17"/>
      <c r="BF44" s="17"/>
      <c r="BG44" s="133"/>
      <c r="BH44" s="17"/>
      <c r="BI44" s="17"/>
      <c r="BJ44" s="17"/>
      <c r="BK44" s="133"/>
      <c r="BL44" s="195"/>
      <c r="BM44" s="181" t="str">
        <f t="shared" si="62"/>
        <v/>
      </c>
      <c r="BN44" s="133"/>
      <c r="BO44" s="2"/>
      <c r="BP44" s="133"/>
      <c r="BQ44" s="133"/>
      <c r="BR44" s="133"/>
    </row>
    <row r="45">
      <c r="A45" s="179" t="s">
        <v>193</v>
      </c>
      <c r="B45" s="152" t="s">
        <v>194</v>
      </c>
      <c r="C45" s="234"/>
      <c r="D45" s="239" t="s">
        <v>195</v>
      </c>
      <c r="E45" s="189" t="s">
        <v>196</v>
      </c>
      <c r="F45" s="156" t="s">
        <v>109</v>
      </c>
      <c r="G45" s="157">
        <v>0.12</v>
      </c>
      <c r="H45" s="157">
        <v>0.0</v>
      </c>
      <c r="I45" s="157">
        <v>0.0</v>
      </c>
      <c r="J45" s="157">
        <v>0.0</v>
      </c>
      <c r="K45" s="158">
        <v>0.0</v>
      </c>
      <c r="L45" s="159">
        <v>55000.0</v>
      </c>
      <c r="M45" s="3"/>
      <c r="N45" s="238"/>
      <c r="O45" s="185">
        <f t="shared" si="67"/>
        <v>197327.678</v>
      </c>
      <c r="P45" s="171">
        <f t="shared" si="48"/>
        <v>13812.93746</v>
      </c>
      <c r="Q45" s="186">
        <f t="shared" si="49"/>
        <v>211140.6155</v>
      </c>
      <c r="R45" s="171">
        <f t="shared" si="65"/>
        <v>0</v>
      </c>
      <c r="S45" s="171">
        <f t="shared" si="51"/>
        <v>0</v>
      </c>
      <c r="T45" s="171">
        <f t="shared" si="52"/>
        <v>0</v>
      </c>
      <c r="U45" s="171">
        <f t="shared" si="53"/>
        <v>0</v>
      </c>
      <c r="V45" s="171">
        <f t="shared" si="54"/>
        <v>27502.67</v>
      </c>
      <c r="W45" s="164">
        <f>ifs(((AC45+AC46+AC47+AC48)*G45)&gt;L45,(AC45+AC46+AC47+AC48)*G45,AC45=0,"0",((AC45+AC46+AC47+AC48)*G45)&lt;=L45,L45)</f>
        <v>169825.008</v>
      </c>
      <c r="X45" s="165">
        <f t="shared" si="56"/>
        <v>40855.17</v>
      </c>
      <c r="Y45" s="165">
        <f t="shared" si="57"/>
        <v>40457.96</v>
      </c>
      <c r="Z45" s="165">
        <f t="shared" si="58"/>
        <v>0</v>
      </c>
      <c r="AA45" s="165">
        <f t="shared" si="59"/>
        <v>27502.67</v>
      </c>
      <c r="AB45" s="165">
        <f t="shared" si="60"/>
        <v>0</v>
      </c>
      <c r="AC45" s="186">
        <f t="shared" si="61"/>
        <v>108815.8</v>
      </c>
      <c r="AD45" s="167"/>
      <c r="AE45" s="17"/>
      <c r="AF45" s="168"/>
      <c r="AG45" s="167"/>
      <c r="AH45" s="168"/>
      <c r="AI45" s="167"/>
      <c r="AJ45" s="17"/>
      <c r="AK45" s="168"/>
      <c r="AL45" s="185">
        <f t="shared" ref="AL45:AL50" si="68">SUM(BA45:BD45)</f>
        <v>27502.67</v>
      </c>
      <c r="AM45" s="17"/>
      <c r="AN45" s="168"/>
      <c r="AO45" s="17"/>
      <c r="AP45" s="17"/>
      <c r="AQ45" s="168"/>
      <c r="AR45" s="17"/>
      <c r="AS45" s="173">
        <v>39783.32</v>
      </c>
      <c r="AT45" s="173">
        <v>1071.85</v>
      </c>
      <c r="AU45" s="17"/>
      <c r="AV45" s="173">
        <f>28116.22+5987.93</f>
        <v>34104.15</v>
      </c>
      <c r="AW45" s="17"/>
      <c r="AX45" s="173">
        <v>6353.81</v>
      </c>
      <c r="AY45" s="17"/>
      <c r="AZ45" s="176"/>
      <c r="BA45" s="173">
        <v>10809.47</v>
      </c>
      <c r="BB45" s="173">
        <v>16693.2</v>
      </c>
      <c r="BC45" s="187"/>
      <c r="BD45" s="17"/>
      <c r="BE45" s="17"/>
      <c r="BF45" s="17"/>
      <c r="BG45" s="17"/>
      <c r="BH45" s="17"/>
      <c r="BI45" s="17"/>
      <c r="BJ45" s="17"/>
      <c r="BK45" s="17"/>
      <c r="BL45" s="179" t="s">
        <v>98</v>
      </c>
      <c r="BM45" s="180" t="str">
        <f t="shared" si="62"/>
        <v>#REF!</v>
      </c>
      <c r="BN45" s="2"/>
      <c r="BO45" s="2"/>
      <c r="BP45" s="133"/>
      <c r="BQ45" s="133"/>
      <c r="BR45" s="133"/>
    </row>
    <row r="46">
      <c r="A46" s="179" t="s">
        <v>197</v>
      </c>
      <c r="B46" s="152" t="s">
        <v>194</v>
      </c>
      <c r="C46" s="234"/>
      <c r="D46" s="239" t="s">
        <v>195</v>
      </c>
      <c r="E46" s="189" t="s">
        <v>196</v>
      </c>
      <c r="F46" s="156" t="s">
        <v>109</v>
      </c>
      <c r="G46" s="157">
        <v>0.12</v>
      </c>
      <c r="H46" s="157">
        <v>0.0</v>
      </c>
      <c r="I46" s="157">
        <v>0.0</v>
      </c>
      <c r="J46" s="157">
        <v>0.0</v>
      </c>
      <c r="K46" s="158">
        <v>0.0</v>
      </c>
      <c r="M46" s="3"/>
      <c r="N46" s="238"/>
      <c r="O46" s="185">
        <f t="shared" si="67"/>
        <v>165491.58</v>
      </c>
      <c r="P46" s="171">
        <f t="shared" si="48"/>
        <v>11584.4106</v>
      </c>
      <c r="Q46" s="186">
        <f t="shared" si="49"/>
        <v>177075.9906</v>
      </c>
      <c r="R46" s="171">
        <f t="shared" si="65"/>
        <v>0</v>
      </c>
      <c r="S46" s="171">
        <f t="shared" si="51"/>
        <v>0</v>
      </c>
      <c r="T46" s="171">
        <f t="shared" si="52"/>
        <v>0</v>
      </c>
      <c r="U46" s="171">
        <f t="shared" si="53"/>
        <v>0</v>
      </c>
      <c r="V46" s="171">
        <f t="shared" si="54"/>
        <v>165491.58</v>
      </c>
      <c r="X46" s="165">
        <f t="shared" si="56"/>
        <v>297749.44</v>
      </c>
      <c r="Y46" s="165">
        <f t="shared" si="57"/>
        <v>242494.96</v>
      </c>
      <c r="Z46" s="165">
        <f t="shared" si="58"/>
        <v>0</v>
      </c>
      <c r="AA46" s="165">
        <f t="shared" si="59"/>
        <v>165491.58</v>
      </c>
      <c r="AB46" s="165">
        <f t="shared" si="60"/>
        <v>0</v>
      </c>
      <c r="AC46" s="186">
        <f t="shared" si="61"/>
        <v>705735.98</v>
      </c>
      <c r="AD46" s="167"/>
      <c r="AE46" s="17"/>
      <c r="AF46" s="168"/>
      <c r="AG46" s="167"/>
      <c r="AH46" s="168"/>
      <c r="AI46" s="167"/>
      <c r="AJ46" s="17"/>
      <c r="AK46" s="168"/>
      <c r="AL46" s="185">
        <f t="shared" si="68"/>
        <v>165491.58</v>
      </c>
      <c r="AM46" s="17"/>
      <c r="AN46" s="168"/>
      <c r="AO46" s="17"/>
      <c r="AP46" s="17"/>
      <c r="AQ46" s="168"/>
      <c r="AR46" s="17"/>
      <c r="AS46" s="173">
        <f>289440.84+3918.4+1175.3</f>
        <v>294534.54</v>
      </c>
      <c r="AT46" s="173">
        <v>3214.9</v>
      </c>
      <c r="AU46" s="17"/>
      <c r="AV46" s="173">
        <f>124374.75+30986.14</f>
        <v>155360.89</v>
      </c>
      <c r="AW46" s="173">
        <v>44555.04</v>
      </c>
      <c r="AX46" s="173">
        <v>42579.03</v>
      </c>
      <c r="AY46" s="17"/>
      <c r="AZ46" s="176"/>
      <c r="BA46" s="311">
        <v>49996.42</v>
      </c>
      <c r="BB46" s="173">
        <v>115495.16</v>
      </c>
      <c r="BC46" s="187"/>
      <c r="BD46" s="17"/>
      <c r="BE46" s="17"/>
      <c r="BF46" s="17"/>
      <c r="BG46" s="17"/>
      <c r="BH46" s="17"/>
      <c r="BI46" s="17"/>
      <c r="BJ46" s="17"/>
      <c r="BK46" s="17"/>
      <c r="BL46" s="179" t="s">
        <v>98</v>
      </c>
      <c r="BM46" s="180" t="str">
        <f t="shared" si="62"/>
        <v>#REF!</v>
      </c>
      <c r="BN46" s="2"/>
      <c r="BO46" s="2"/>
      <c r="BP46" s="133"/>
      <c r="BQ46" s="133"/>
      <c r="BR46" s="133"/>
    </row>
    <row r="47">
      <c r="A47" s="179" t="s">
        <v>198</v>
      </c>
      <c r="B47" s="152" t="s">
        <v>194</v>
      </c>
      <c r="C47" s="234"/>
      <c r="D47" s="239" t="s">
        <v>195</v>
      </c>
      <c r="E47" s="189" t="s">
        <v>196</v>
      </c>
      <c r="F47" s="156" t="s">
        <v>109</v>
      </c>
      <c r="G47" s="157">
        <v>0.12</v>
      </c>
      <c r="H47" s="157">
        <v>0.0</v>
      </c>
      <c r="I47" s="157">
        <v>0.0</v>
      </c>
      <c r="J47" s="157">
        <v>0.0</v>
      </c>
      <c r="K47" s="158">
        <v>0.0</v>
      </c>
      <c r="M47" s="3"/>
      <c r="N47" s="238"/>
      <c r="O47" s="185">
        <f t="shared" si="67"/>
        <v>73988.99</v>
      </c>
      <c r="P47" s="171">
        <f t="shared" si="48"/>
        <v>5179.2293</v>
      </c>
      <c r="Q47" s="186">
        <f t="shared" si="49"/>
        <v>79168.2193</v>
      </c>
      <c r="R47" s="171">
        <f t="shared" si="65"/>
        <v>0</v>
      </c>
      <c r="S47" s="171">
        <f t="shared" si="51"/>
        <v>0</v>
      </c>
      <c r="T47" s="171">
        <f t="shared" si="52"/>
        <v>0</v>
      </c>
      <c r="U47" s="171">
        <f t="shared" si="53"/>
        <v>0</v>
      </c>
      <c r="V47" s="171">
        <f t="shared" si="54"/>
        <v>73988.99</v>
      </c>
      <c r="X47" s="165">
        <f t="shared" si="56"/>
        <v>58971.85</v>
      </c>
      <c r="Y47" s="165">
        <f t="shared" si="57"/>
        <v>144167.68</v>
      </c>
      <c r="Z47" s="165">
        <f t="shared" si="58"/>
        <v>0</v>
      </c>
      <c r="AA47" s="165">
        <f t="shared" si="59"/>
        <v>73988.99</v>
      </c>
      <c r="AB47" s="165">
        <f t="shared" si="60"/>
        <v>0</v>
      </c>
      <c r="AC47" s="186">
        <f t="shared" si="61"/>
        <v>277128.52</v>
      </c>
      <c r="AD47" s="167"/>
      <c r="AE47" s="17"/>
      <c r="AF47" s="168"/>
      <c r="AG47" s="167"/>
      <c r="AH47" s="168"/>
      <c r="AI47" s="167"/>
      <c r="AJ47" s="17"/>
      <c r="AK47" s="168"/>
      <c r="AL47" s="185">
        <f t="shared" si="68"/>
        <v>73988.99</v>
      </c>
      <c r="AM47" s="17"/>
      <c r="AN47" s="168"/>
      <c r="AO47" s="17"/>
      <c r="AP47" s="17"/>
      <c r="AQ47" s="168"/>
      <c r="AR47" s="17"/>
      <c r="AS47" s="173">
        <f>49048.67+8563.87</f>
        <v>57612.54</v>
      </c>
      <c r="AT47" s="173">
        <v>1359.31</v>
      </c>
      <c r="AU47" s="17"/>
      <c r="AV47" s="173">
        <f>51819.83+11792.37</f>
        <v>63612.2</v>
      </c>
      <c r="AW47" s="173">
        <v>52160.97</v>
      </c>
      <c r="AX47" s="173">
        <v>28394.51</v>
      </c>
      <c r="AY47" s="17"/>
      <c r="AZ47" s="176"/>
      <c r="BA47" s="311">
        <v>49991.24</v>
      </c>
      <c r="BB47" s="173">
        <v>23997.75</v>
      </c>
      <c r="BC47" s="187"/>
      <c r="BD47" s="17"/>
      <c r="BE47" s="17"/>
      <c r="BF47" s="17"/>
      <c r="BG47" s="17"/>
      <c r="BH47" s="17"/>
      <c r="BI47" s="17"/>
      <c r="BJ47" s="17"/>
      <c r="BK47" s="17"/>
      <c r="BL47" s="179" t="s">
        <v>98</v>
      </c>
      <c r="BM47" s="180" t="str">
        <f t="shared" si="62"/>
        <v>#REF!</v>
      </c>
      <c r="BN47" s="2"/>
      <c r="BO47" s="2"/>
      <c r="BP47" s="133"/>
      <c r="BQ47" s="133"/>
      <c r="BR47" s="133"/>
    </row>
    <row r="48">
      <c r="A48" s="179" t="s">
        <v>199</v>
      </c>
      <c r="B48" s="152" t="s">
        <v>194</v>
      </c>
      <c r="C48" s="234"/>
      <c r="D48" s="239" t="s">
        <v>195</v>
      </c>
      <c r="E48" s="189" t="s">
        <v>196</v>
      </c>
      <c r="F48" s="156" t="s">
        <v>109</v>
      </c>
      <c r="G48" s="157">
        <v>0.12</v>
      </c>
      <c r="H48" s="157">
        <v>0.0</v>
      </c>
      <c r="I48" s="157">
        <v>0.0</v>
      </c>
      <c r="J48" s="157">
        <v>0.0</v>
      </c>
      <c r="K48" s="158">
        <v>0.0</v>
      </c>
      <c r="M48" s="3"/>
      <c r="N48" s="238"/>
      <c r="O48" s="185">
        <f t="shared" si="67"/>
        <v>52498.55</v>
      </c>
      <c r="P48" s="171">
        <f t="shared" si="48"/>
        <v>3674.8985</v>
      </c>
      <c r="Q48" s="186">
        <f t="shared" si="49"/>
        <v>56173.4485</v>
      </c>
      <c r="R48" s="171">
        <f t="shared" si="65"/>
        <v>0</v>
      </c>
      <c r="S48" s="171">
        <f t="shared" si="51"/>
        <v>0</v>
      </c>
      <c r="T48" s="171">
        <f t="shared" si="52"/>
        <v>0</v>
      </c>
      <c r="U48" s="171">
        <f t="shared" si="53"/>
        <v>0</v>
      </c>
      <c r="V48" s="171">
        <f t="shared" si="54"/>
        <v>52498.55</v>
      </c>
      <c r="X48" s="165">
        <f t="shared" si="56"/>
        <v>126254.57</v>
      </c>
      <c r="Y48" s="165">
        <f t="shared" si="57"/>
        <v>144774.98</v>
      </c>
      <c r="Z48" s="165">
        <f t="shared" si="58"/>
        <v>0</v>
      </c>
      <c r="AA48" s="165">
        <f t="shared" si="59"/>
        <v>52498.55</v>
      </c>
      <c r="AB48" s="165">
        <f t="shared" si="60"/>
        <v>0</v>
      </c>
      <c r="AC48" s="186">
        <f t="shared" si="61"/>
        <v>323528.1</v>
      </c>
      <c r="AD48" s="167"/>
      <c r="AE48" s="17"/>
      <c r="AF48" s="168"/>
      <c r="AG48" s="167"/>
      <c r="AH48" s="168"/>
      <c r="AI48" s="167"/>
      <c r="AJ48" s="17"/>
      <c r="AK48" s="168"/>
      <c r="AL48" s="185">
        <f t="shared" si="68"/>
        <v>52498.55</v>
      </c>
      <c r="AM48" s="17"/>
      <c r="AN48" s="168"/>
      <c r="AO48" s="17"/>
      <c r="AP48" s="17"/>
      <c r="AQ48" s="168"/>
      <c r="AR48" s="17"/>
      <c r="AS48" s="173">
        <f>81435.55+40790</f>
        <v>122225.55</v>
      </c>
      <c r="AT48" s="173">
        <v>4029.02</v>
      </c>
      <c r="AU48" s="17"/>
      <c r="AV48" s="173">
        <f>40824.09+13896.3</f>
        <v>54720.39</v>
      </c>
      <c r="AW48" s="173">
        <v>59909.5</v>
      </c>
      <c r="AX48" s="173">
        <v>30145.09</v>
      </c>
      <c r="AY48" s="17"/>
      <c r="AZ48" s="176"/>
      <c r="BA48" s="177"/>
      <c r="BB48" s="173">
        <v>52498.55</v>
      </c>
      <c r="BC48" s="187"/>
      <c r="BD48" s="17"/>
      <c r="BE48" s="17"/>
      <c r="BF48" s="17"/>
      <c r="BG48" s="17"/>
      <c r="BH48" s="17"/>
      <c r="BI48" s="17"/>
      <c r="BJ48" s="17"/>
      <c r="BK48" s="17"/>
      <c r="BL48" s="179" t="s">
        <v>98</v>
      </c>
      <c r="BM48" s="180" t="str">
        <f t="shared" si="62"/>
        <v>#REF!</v>
      </c>
      <c r="BN48" s="2"/>
      <c r="BO48" s="2"/>
      <c r="BP48" s="133"/>
      <c r="BQ48" s="133"/>
      <c r="BR48" s="133"/>
    </row>
    <row r="49">
      <c r="A49" s="179" t="s">
        <v>200</v>
      </c>
      <c r="B49" s="152" t="s">
        <v>201</v>
      </c>
      <c r="C49" s="234"/>
      <c r="D49" s="239" t="s">
        <v>195</v>
      </c>
      <c r="E49" s="189" t="s">
        <v>196</v>
      </c>
      <c r="F49" s="156" t="s">
        <v>109</v>
      </c>
      <c r="G49" s="157">
        <v>0.13</v>
      </c>
      <c r="H49" s="157">
        <v>0.0</v>
      </c>
      <c r="I49" s="157">
        <v>0.0</v>
      </c>
      <c r="J49" s="157">
        <v>0.0</v>
      </c>
      <c r="K49" s="158">
        <v>0.0</v>
      </c>
      <c r="L49" s="159">
        <v>65000.0</v>
      </c>
      <c r="M49" s="157">
        <v>0.02</v>
      </c>
      <c r="N49" s="384" t="s">
        <v>202</v>
      </c>
      <c r="O49" s="185">
        <f t="shared" si="67"/>
        <v>176858.02</v>
      </c>
      <c r="P49" s="171">
        <f t="shared" si="48"/>
        <v>12380.0614</v>
      </c>
      <c r="Q49" s="186">
        <f t="shared" si="49"/>
        <v>189238.0814</v>
      </c>
      <c r="R49" s="171">
        <f t="shared" si="65"/>
        <v>0</v>
      </c>
      <c r="S49" s="171">
        <f t="shared" si="51"/>
        <v>0</v>
      </c>
      <c r="T49" s="171">
        <f t="shared" si="52"/>
        <v>0</v>
      </c>
      <c r="U49" s="171">
        <f t="shared" si="53"/>
        <v>0</v>
      </c>
      <c r="V49" s="171">
        <f t="shared" si="54"/>
        <v>111858.02</v>
      </c>
      <c r="W49" s="164">
        <f t="shared" ref="W49:W51" si="69">ifs((AC49*G49)&gt;L49,AC49*G49,AC49=0,"0",(AC49*G49)&lt;=L49,L49)</f>
        <v>65000</v>
      </c>
      <c r="X49" s="165">
        <f t="shared" si="56"/>
        <v>254297.21</v>
      </c>
      <c r="Y49" s="165">
        <f t="shared" si="57"/>
        <v>86445.44</v>
      </c>
      <c r="Z49" s="165">
        <f t="shared" si="58"/>
        <v>20665.49</v>
      </c>
      <c r="AA49" s="165">
        <f t="shared" si="59"/>
        <v>55433.85</v>
      </c>
      <c r="AB49" s="165">
        <f t="shared" si="60"/>
        <v>35758.68</v>
      </c>
      <c r="AC49" s="186">
        <f t="shared" si="61"/>
        <v>452600.67</v>
      </c>
      <c r="AD49" s="167"/>
      <c r="AE49" s="17"/>
      <c r="AF49" s="168"/>
      <c r="AG49" s="167"/>
      <c r="AH49" s="168"/>
      <c r="AI49" s="167"/>
      <c r="AJ49" s="17"/>
      <c r="AK49" s="168"/>
      <c r="AL49" s="185">
        <f t="shared" si="68"/>
        <v>55433.85</v>
      </c>
      <c r="AM49" s="171">
        <f t="shared" ref="AM49:AM50" si="70">SUM(BF49:BG49)</f>
        <v>20665.49</v>
      </c>
      <c r="AN49" s="186">
        <f t="shared" ref="AN49:AN50" si="71">BK49</f>
        <v>35758.68</v>
      </c>
      <c r="AO49" s="17"/>
      <c r="AP49" s="17"/>
      <c r="AQ49" s="168"/>
      <c r="AR49" s="173">
        <v>33275.85</v>
      </c>
      <c r="AS49" s="173">
        <v>221021.36</v>
      </c>
      <c r="AT49" s="17"/>
      <c r="AU49" s="17"/>
      <c r="AV49" s="173">
        <f>47444.37+14071.4</f>
        <v>61515.77</v>
      </c>
      <c r="AW49" s="173">
        <v>24929.67</v>
      </c>
      <c r="AX49" s="17"/>
      <c r="AY49" s="17"/>
      <c r="AZ49" s="176"/>
      <c r="BA49" s="311">
        <f>24396.07-311.82</f>
        <v>24084.25</v>
      </c>
      <c r="BB49" s="173">
        <v>31349.6</v>
      </c>
      <c r="BC49" s="187"/>
      <c r="BD49" s="17"/>
      <c r="BE49" s="17"/>
      <c r="BF49" s="173">
        <f> 1790.16 + 18875.33</f>
        <v>20665.49</v>
      </c>
      <c r="BG49" s="17"/>
      <c r="BH49" s="17"/>
      <c r="BI49" s="17"/>
      <c r="BJ49" s="17"/>
      <c r="BK49" s="173">
        <v>35758.68</v>
      </c>
      <c r="BL49" s="179" t="s">
        <v>98</v>
      </c>
      <c r="BM49" s="180" t="str">
        <f t="shared" si="62"/>
        <v>#REF!</v>
      </c>
      <c r="BN49" s="2"/>
      <c r="BO49" s="2"/>
      <c r="BP49" s="133"/>
      <c r="BQ49" s="133"/>
      <c r="BR49" s="133"/>
    </row>
    <row r="50">
      <c r="A50" s="179" t="s">
        <v>203</v>
      </c>
      <c r="B50" s="152" t="s">
        <v>204</v>
      </c>
      <c r="C50" s="234"/>
      <c r="D50" s="239" t="s">
        <v>205</v>
      </c>
      <c r="E50" s="310"/>
      <c r="F50" s="156" t="s">
        <v>109</v>
      </c>
      <c r="G50" s="313">
        <v>0.075</v>
      </c>
      <c r="H50" s="157">
        <v>0.0</v>
      </c>
      <c r="I50" s="157">
        <v>0.0</v>
      </c>
      <c r="J50" s="157">
        <v>0.0</v>
      </c>
      <c r="K50" s="158">
        <v>0.0</v>
      </c>
      <c r="L50" s="159">
        <v>0.0</v>
      </c>
      <c r="M50" s="3"/>
      <c r="N50" s="160"/>
      <c r="O50" s="185">
        <f t="shared" si="67"/>
        <v>568805.3023</v>
      </c>
      <c r="P50" s="171">
        <f t="shared" si="48"/>
        <v>39816.37116</v>
      </c>
      <c r="Q50" s="186">
        <f t="shared" si="49"/>
        <v>608621.6734</v>
      </c>
      <c r="R50" s="171">
        <f t="shared" si="65"/>
        <v>0</v>
      </c>
      <c r="S50" s="171">
        <f t="shared" si="51"/>
        <v>0</v>
      </c>
      <c r="T50" s="171">
        <f t="shared" si="52"/>
        <v>0</v>
      </c>
      <c r="U50" s="171">
        <f t="shared" si="53"/>
        <v>0</v>
      </c>
      <c r="V50" s="171">
        <f t="shared" si="54"/>
        <v>494213.18</v>
      </c>
      <c r="W50" s="164">
        <f t="shared" si="69"/>
        <v>74592.12225</v>
      </c>
      <c r="X50" s="165">
        <f t="shared" si="56"/>
        <v>500348.45</v>
      </c>
      <c r="Y50" s="165">
        <f t="shared" si="57"/>
        <v>0</v>
      </c>
      <c r="Z50" s="165">
        <f t="shared" si="58"/>
        <v>0</v>
      </c>
      <c r="AA50" s="165">
        <f t="shared" si="59"/>
        <v>494213.18</v>
      </c>
      <c r="AB50" s="165">
        <f t="shared" si="60"/>
        <v>0</v>
      </c>
      <c r="AC50" s="186">
        <f t="shared" si="61"/>
        <v>994561.63</v>
      </c>
      <c r="AD50" s="167"/>
      <c r="AE50" s="17"/>
      <c r="AF50" s="168"/>
      <c r="AG50" s="167"/>
      <c r="AH50" s="168"/>
      <c r="AI50" s="167"/>
      <c r="AJ50" s="17"/>
      <c r="AK50" s="168"/>
      <c r="AL50" s="185">
        <f t="shared" si="68"/>
        <v>494213.18</v>
      </c>
      <c r="AM50" s="171">
        <f t="shared" si="70"/>
        <v>0</v>
      </c>
      <c r="AN50" s="168" t="str">
        <f t="shared" si="71"/>
        <v/>
      </c>
      <c r="AO50" s="17"/>
      <c r="AP50" s="17"/>
      <c r="AQ50" s="168"/>
      <c r="AR50" s="173">
        <v>76046.49</v>
      </c>
      <c r="AS50" s="173">
        <v>424301.96</v>
      </c>
      <c r="AT50" s="17"/>
      <c r="AU50" s="17"/>
      <c r="AV50" s="17"/>
      <c r="AW50" s="17"/>
      <c r="AX50" s="17"/>
      <c r="AY50" s="17"/>
      <c r="AZ50" s="176"/>
      <c r="BA50" s="311">
        <v>144708.58</v>
      </c>
      <c r="BB50" s="173">
        <v>349504.6</v>
      </c>
      <c r="BC50" s="187"/>
      <c r="BD50" s="17"/>
      <c r="BE50" s="17"/>
      <c r="BF50" s="17"/>
      <c r="BG50" s="17"/>
      <c r="BH50" s="17"/>
      <c r="BI50" s="17"/>
      <c r="BJ50" s="17"/>
      <c r="BK50" s="17"/>
      <c r="BL50" s="151" t="s">
        <v>98</v>
      </c>
      <c r="BM50" s="180" t="str">
        <f t="shared" si="62"/>
        <v>#REF!</v>
      </c>
      <c r="BN50" s="26"/>
      <c r="BO50" s="133"/>
      <c r="BP50" s="133"/>
      <c r="BQ50" s="133"/>
      <c r="BR50" s="133"/>
    </row>
    <row r="51">
      <c r="A51" s="179" t="s">
        <v>206</v>
      </c>
      <c r="B51" s="152" t="s">
        <v>207</v>
      </c>
      <c r="C51" s="234"/>
      <c r="D51" s="239" t="s">
        <v>208</v>
      </c>
      <c r="E51" s="310"/>
      <c r="F51" s="232"/>
      <c r="G51" s="157">
        <v>0.08</v>
      </c>
      <c r="H51" s="157">
        <v>0.0</v>
      </c>
      <c r="I51" s="157">
        <v>0.0</v>
      </c>
      <c r="J51" s="157">
        <v>0.0</v>
      </c>
      <c r="K51" s="158">
        <v>0.0</v>
      </c>
      <c r="L51" s="159">
        <v>45000.0</v>
      </c>
      <c r="M51" s="3"/>
      <c r="N51" s="160"/>
      <c r="O51" s="185">
        <f t="shared" si="67"/>
        <v>45000</v>
      </c>
      <c r="P51" s="171">
        <f t="shared" si="48"/>
        <v>3150</v>
      </c>
      <c r="Q51" s="186">
        <f t="shared" si="49"/>
        <v>48150</v>
      </c>
      <c r="R51" s="171">
        <f t="shared" si="65"/>
        <v>0</v>
      </c>
      <c r="S51" s="171">
        <f t="shared" si="51"/>
        <v>0</v>
      </c>
      <c r="T51" s="171">
        <f t="shared" si="52"/>
        <v>0</v>
      </c>
      <c r="U51" s="171">
        <f t="shared" si="53"/>
        <v>0</v>
      </c>
      <c r="V51" s="171">
        <f t="shared" si="54"/>
        <v>0</v>
      </c>
      <c r="W51" s="164">
        <f t="shared" si="69"/>
        <v>45000</v>
      </c>
      <c r="X51" s="165">
        <f t="shared" si="56"/>
        <v>0</v>
      </c>
      <c r="Y51" s="165">
        <f t="shared" si="57"/>
        <v>0</v>
      </c>
      <c r="Z51" s="165">
        <f t="shared" si="58"/>
        <v>0</v>
      </c>
      <c r="AA51" s="165">
        <f t="shared" si="59"/>
        <v>0</v>
      </c>
      <c r="AB51" s="165">
        <f t="shared" si="60"/>
        <v>463450.99</v>
      </c>
      <c r="AC51" s="186">
        <f t="shared" si="61"/>
        <v>463450.99</v>
      </c>
      <c r="AD51" s="167"/>
      <c r="AE51" s="17"/>
      <c r="AF51" s="168"/>
      <c r="AG51" s="167"/>
      <c r="AH51" s="168"/>
      <c r="AI51" s="167"/>
      <c r="AJ51" s="17"/>
      <c r="AK51" s="168"/>
      <c r="AL51" s="304" t="s">
        <v>183</v>
      </c>
      <c r="AM51" s="305" t="s">
        <v>183</v>
      </c>
      <c r="AN51" s="306" t="s">
        <v>183</v>
      </c>
      <c r="AO51" s="17"/>
      <c r="AP51" s="17"/>
      <c r="AQ51" s="168"/>
      <c r="AR51" s="17"/>
      <c r="AS51" s="17"/>
      <c r="AT51" s="17"/>
      <c r="AU51" s="17"/>
      <c r="AV51" s="17"/>
      <c r="AW51" s="17"/>
      <c r="AX51" s="17"/>
      <c r="AY51" s="17"/>
      <c r="AZ51" s="176"/>
      <c r="BA51" s="177"/>
      <c r="BB51" s="17"/>
      <c r="BC51" s="17"/>
      <c r="BD51" s="17"/>
      <c r="BE51" s="17"/>
      <c r="BF51" s="17"/>
      <c r="BG51" s="17"/>
      <c r="BH51" s="17"/>
      <c r="BI51" s="17"/>
      <c r="BJ51" s="17"/>
      <c r="BK51" s="308">
        <v>463450.99</v>
      </c>
      <c r="BL51" s="179" t="s">
        <v>98</v>
      </c>
      <c r="BM51" s="180" t="str">
        <f t="shared" si="62"/>
        <v>#REF!</v>
      </c>
      <c r="BN51" s="2"/>
      <c r="BO51" s="2"/>
      <c r="BP51" s="133"/>
      <c r="BQ51" s="133"/>
      <c r="BR51" s="133"/>
    </row>
    <row r="52">
      <c r="A52" s="179" t="s">
        <v>209</v>
      </c>
      <c r="B52" s="152" t="s">
        <v>210</v>
      </c>
      <c r="C52" s="234"/>
      <c r="D52" s="239" t="s">
        <v>208</v>
      </c>
      <c r="E52" s="310"/>
      <c r="F52" s="232"/>
      <c r="G52" s="157">
        <v>0.08</v>
      </c>
      <c r="H52" s="157">
        <v>0.0</v>
      </c>
      <c r="I52" s="157">
        <v>0.0</v>
      </c>
      <c r="J52" s="157">
        <v>0.0</v>
      </c>
      <c r="K52" s="158">
        <v>0.0</v>
      </c>
      <c r="L52" s="159">
        <v>35000.0</v>
      </c>
      <c r="M52" s="3"/>
      <c r="N52" s="160"/>
      <c r="O52" s="185">
        <f t="shared" si="67"/>
        <v>455188.3128</v>
      </c>
      <c r="P52" s="171">
        <f t="shared" si="48"/>
        <v>31863.1819</v>
      </c>
      <c r="Q52" s="186">
        <f t="shared" si="49"/>
        <v>487051.4947</v>
      </c>
      <c r="R52" s="171">
        <f t="shared" si="65"/>
        <v>0</v>
      </c>
      <c r="S52" s="171">
        <f t="shared" si="51"/>
        <v>0</v>
      </c>
      <c r="T52" s="171">
        <f t="shared" si="52"/>
        <v>0</v>
      </c>
      <c r="U52" s="171">
        <f t="shared" si="53"/>
        <v>0</v>
      </c>
      <c r="V52" s="171">
        <f t="shared" si="54"/>
        <v>421470.66</v>
      </c>
      <c r="W52" s="164">
        <f>V52*G52</f>
        <v>33717.6528</v>
      </c>
      <c r="X52" s="165">
        <f t="shared" si="56"/>
        <v>0</v>
      </c>
      <c r="Y52" s="165">
        <f t="shared" si="57"/>
        <v>0</v>
      </c>
      <c r="Z52" s="165">
        <f t="shared" si="58"/>
        <v>29763.03</v>
      </c>
      <c r="AA52" s="165">
        <f t="shared" si="59"/>
        <v>153286.74</v>
      </c>
      <c r="AB52" s="165">
        <f t="shared" si="60"/>
        <v>238420.89</v>
      </c>
      <c r="AC52" s="186">
        <f t="shared" si="61"/>
        <v>421470.66</v>
      </c>
      <c r="AD52" s="167"/>
      <c r="AE52" s="17"/>
      <c r="AF52" s="168"/>
      <c r="AG52" s="167"/>
      <c r="AH52" s="168"/>
      <c r="AI52" s="167"/>
      <c r="AJ52" s="17"/>
      <c r="AK52" s="168"/>
      <c r="AL52" s="169">
        <f t="shared" ref="AL52:AL56" si="72">SUM(BA52:BD52)</f>
        <v>153286.74</v>
      </c>
      <c r="AM52" s="178">
        <f>SUM(BF52:BG52)</f>
        <v>29763.03</v>
      </c>
      <c r="AN52" s="170">
        <f t="shared" ref="AN52:AN56" si="73">BK52</f>
        <v>238420.89</v>
      </c>
      <c r="AO52" s="17"/>
      <c r="AP52" s="17"/>
      <c r="AQ52" s="168"/>
      <c r="AR52" s="17"/>
      <c r="AS52" s="17"/>
      <c r="AT52" s="17"/>
      <c r="AU52" s="17"/>
      <c r="AV52" s="17"/>
      <c r="AW52" s="17"/>
      <c r="AX52" s="17"/>
      <c r="AY52" s="17"/>
      <c r="AZ52" s="176"/>
      <c r="BA52" s="177"/>
      <c r="BB52" s="17"/>
      <c r="BC52" s="17"/>
      <c r="BD52" s="173">
        <v>153286.74</v>
      </c>
      <c r="BE52" s="17"/>
      <c r="BF52" s="17"/>
      <c r="BG52" s="173">
        <f>26053.49+3709.54</f>
        <v>29763.03</v>
      </c>
      <c r="BH52" s="17"/>
      <c r="BI52" s="17"/>
      <c r="BJ52" s="17"/>
      <c r="BK52" s="173">
        <f>238339.25+81.64</f>
        <v>238420.89</v>
      </c>
      <c r="BL52" s="179" t="s">
        <v>98</v>
      </c>
      <c r="BM52" s="180" t="str">
        <f t="shared" si="62"/>
        <v>#REF!</v>
      </c>
      <c r="BN52" s="2"/>
      <c r="BO52" s="2"/>
      <c r="BP52" s="133"/>
      <c r="BQ52" s="133"/>
      <c r="BR52" s="133"/>
    </row>
    <row r="53">
      <c r="A53" s="179" t="s">
        <v>211</v>
      </c>
      <c r="B53" s="152" t="s">
        <v>212</v>
      </c>
      <c r="C53" s="234"/>
      <c r="D53" s="239" t="s">
        <v>208</v>
      </c>
      <c r="E53" s="310"/>
      <c r="F53" s="232"/>
      <c r="G53" s="157">
        <v>0.08</v>
      </c>
      <c r="H53" s="157">
        <v>0.0</v>
      </c>
      <c r="I53" s="157">
        <v>0.0</v>
      </c>
      <c r="J53" s="157">
        <v>0.0</v>
      </c>
      <c r="K53" s="158">
        <v>0.0</v>
      </c>
      <c r="M53" s="3"/>
      <c r="N53" s="160"/>
      <c r="O53" s="185">
        <f t="shared" si="67"/>
        <v>76802.4936</v>
      </c>
      <c r="P53" s="171">
        <f t="shared" si="48"/>
        <v>5376.174552</v>
      </c>
      <c r="Q53" s="186">
        <f t="shared" si="49"/>
        <v>82178.66815</v>
      </c>
      <c r="R53" s="171">
        <f t="shared" si="65"/>
        <v>0</v>
      </c>
      <c r="S53" s="171">
        <f t="shared" si="51"/>
        <v>0</v>
      </c>
      <c r="T53" s="171">
        <f t="shared" si="52"/>
        <v>0</v>
      </c>
      <c r="U53" s="171">
        <f t="shared" si="53"/>
        <v>0</v>
      </c>
      <c r="V53" s="171">
        <f t="shared" si="54"/>
        <v>71113.42</v>
      </c>
      <c r="W53" s="164">
        <f t="shared" ref="W53:W65" si="74">ifs((AC53*G53)&gt;L53,AC53*G53,AC53=0,"0",(AC53*G53)&lt;=L53,L53)</f>
        <v>5689.0736</v>
      </c>
      <c r="X53" s="165">
        <f t="shared" si="56"/>
        <v>0</v>
      </c>
      <c r="Y53" s="165">
        <f t="shared" si="57"/>
        <v>0</v>
      </c>
      <c r="Z53" s="165">
        <f t="shared" si="58"/>
        <v>0</v>
      </c>
      <c r="AA53" s="165">
        <f t="shared" si="59"/>
        <v>71113.42</v>
      </c>
      <c r="AB53" s="165">
        <f t="shared" si="60"/>
        <v>0</v>
      </c>
      <c r="AC53" s="186">
        <f t="shared" si="61"/>
        <v>71113.42</v>
      </c>
      <c r="AD53" s="167"/>
      <c r="AE53" s="17"/>
      <c r="AF53" s="168"/>
      <c r="AG53" s="167"/>
      <c r="AH53" s="168"/>
      <c r="AI53" s="167"/>
      <c r="AJ53" s="17"/>
      <c r="AK53" s="168"/>
      <c r="AL53" s="169">
        <f t="shared" si="72"/>
        <v>71113.42</v>
      </c>
      <c r="AM53" s="17"/>
      <c r="AN53" s="168" t="str">
        <f t="shared" si="73"/>
        <v/>
      </c>
      <c r="AO53" s="17"/>
      <c r="AP53" s="17"/>
      <c r="AQ53" s="168"/>
      <c r="AR53" s="17"/>
      <c r="AS53" s="17"/>
      <c r="AT53" s="17"/>
      <c r="AU53" s="17"/>
      <c r="AV53" s="17"/>
      <c r="AW53" s="17"/>
      <c r="AX53" s="17"/>
      <c r="AY53" s="17"/>
      <c r="AZ53" s="176"/>
      <c r="BA53" s="177"/>
      <c r="BB53" s="17"/>
      <c r="BC53" s="17"/>
      <c r="BD53" s="173">
        <v>71113.42</v>
      </c>
      <c r="BE53" s="17"/>
      <c r="BF53" s="17"/>
      <c r="BG53" s="17"/>
      <c r="BH53" s="17"/>
      <c r="BI53" s="17"/>
      <c r="BJ53" s="17"/>
      <c r="BK53" s="17"/>
      <c r="BL53" s="179" t="s">
        <v>98</v>
      </c>
      <c r="BM53" s="181"/>
      <c r="BN53" s="2"/>
      <c r="BO53" s="2"/>
      <c r="BP53" s="133"/>
      <c r="BQ53" s="133"/>
      <c r="BR53" s="133"/>
    </row>
    <row r="54">
      <c r="A54" s="179" t="s">
        <v>213</v>
      </c>
      <c r="B54" s="152" t="s">
        <v>214</v>
      </c>
      <c r="C54" s="234"/>
      <c r="D54" s="239" t="s">
        <v>205</v>
      </c>
      <c r="E54" s="310"/>
      <c r="F54" s="156" t="s">
        <v>109</v>
      </c>
      <c r="G54" s="313">
        <v>0.075</v>
      </c>
      <c r="H54" s="157">
        <v>0.0</v>
      </c>
      <c r="I54" s="157">
        <v>0.0</v>
      </c>
      <c r="J54" s="157">
        <v>0.0</v>
      </c>
      <c r="K54" s="158">
        <v>0.0</v>
      </c>
      <c r="L54" s="159">
        <v>0.0</v>
      </c>
      <c r="M54" s="3"/>
      <c r="N54" s="160"/>
      <c r="O54" s="185">
        <f t="shared" si="67"/>
        <v>400137.5428</v>
      </c>
      <c r="P54" s="171">
        <f t="shared" si="48"/>
        <v>28009.62799</v>
      </c>
      <c r="Q54" s="186">
        <f t="shared" si="49"/>
        <v>428147.1707</v>
      </c>
      <c r="R54" s="171">
        <f t="shared" si="65"/>
        <v>0</v>
      </c>
      <c r="S54" s="171">
        <f t="shared" si="51"/>
        <v>0</v>
      </c>
      <c r="T54" s="171">
        <f t="shared" si="52"/>
        <v>0</v>
      </c>
      <c r="U54" s="171">
        <f t="shared" si="53"/>
        <v>0</v>
      </c>
      <c r="V54" s="171">
        <f t="shared" si="54"/>
        <v>372220.97</v>
      </c>
      <c r="W54" s="164">
        <f t="shared" si="74"/>
        <v>27916.57275</v>
      </c>
      <c r="X54" s="165">
        <f t="shared" si="56"/>
        <v>0</v>
      </c>
      <c r="Y54" s="165">
        <f t="shared" si="57"/>
        <v>0</v>
      </c>
      <c r="Z54" s="165">
        <f t="shared" si="58"/>
        <v>138952.28</v>
      </c>
      <c r="AA54" s="165">
        <f t="shared" si="59"/>
        <v>233268.69</v>
      </c>
      <c r="AB54" s="165">
        <f t="shared" si="60"/>
        <v>0</v>
      </c>
      <c r="AC54" s="186">
        <f t="shared" si="61"/>
        <v>372220.97</v>
      </c>
      <c r="AD54" s="167"/>
      <c r="AE54" s="17"/>
      <c r="AF54" s="168"/>
      <c r="AG54" s="167"/>
      <c r="AH54" s="168"/>
      <c r="AI54" s="167"/>
      <c r="AJ54" s="17"/>
      <c r="AK54" s="168"/>
      <c r="AL54" s="185">
        <f t="shared" si="72"/>
        <v>233268.69</v>
      </c>
      <c r="AM54" s="171">
        <f>SUM(BF54:BG54)</f>
        <v>138952.28</v>
      </c>
      <c r="AN54" s="168" t="str">
        <f t="shared" si="73"/>
        <v/>
      </c>
      <c r="AO54" s="17"/>
      <c r="AP54" s="17"/>
      <c r="AQ54" s="168"/>
      <c r="AR54" s="17"/>
      <c r="AS54" s="17"/>
      <c r="AT54" s="17"/>
      <c r="AU54" s="17"/>
      <c r="AV54" s="17"/>
      <c r="AW54" s="17"/>
      <c r="AX54" s="17"/>
      <c r="AY54" s="17"/>
      <c r="AZ54" s="176"/>
      <c r="BA54" s="177"/>
      <c r="BB54" s="17"/>
      <c r="BC54" s="17"/>
      <c r="BD54" s="173">
        <f>249444.95-16176.26</f>
        <v>233268.69</v>
      </c>
      <c r="BE54" s="17"/>
      <c r="BF54" s="17"/>
      <c r="BG54" s="173">
        <f>122012.87+16939.41</f>
        <v>138952.28</v>
      </c>
      <c r="BH54" s="17"/>
      <c r="BI54" s="17"/>
      <c r="BJ54" s="17"/>
      <c r="BK54" s="17"/>
      <c r="BL54" s="179" t="s">
        <v>98</v>
      </c>
      <c r="BM54" s="180" t="str">
        <f t="shared" ref="BM54:BM65" si="75">IFS(BL54="","",BM54&lt;&gt;"",BM54,1*1,NOW())</f>
        <v>#REF!</v>
      </c>
      <c r="BN54" s="2"/>
      <c r="BO54" s="2"/>
      <c r="BP54" s="133"/>
      <c r="BQ54" s="133"/>
      <c r="BR54" s="133"/>
    </row>
    <row r="55">
      <c r="A55" s="179" t="s">
        <v>215</v>
      </c>
      <c r="B55" s="152" t="s">
        <v>216</v>
      </c>
      <c r="C55" s="234"/>
      <c r="D55" s="239" t="s">
        <v>154</v>
      </c>
      <c r="E55" s="310"/>
      <c r="F55" s="156" t="s">
        <v>109</v>
      </c>
      <c r="G55" s="313">
        <v>0.075</v>
      </c>
      <c r="H55" s="157">
        <v>0.0</v>
      </c>
      <c r="I55" s="157">
        <v>0.0</v>
      </c>
      <c r="J55" s="157">
        <v>0.0</v>
      </c>
      <c r="K55" s="158">
        <v>0.0</v>
      </c>
      <c r="L55" s="159">
        <v>0.0</v>
      </c>
      <c r="M55" s="3"/>
      <c r="N55" s="160"/>
      <c r="O55" s="185">
        <f t="shared" si="67"/>
        <v>39028.72425</v>
      </c>
      <c r="P55" s="171">
        <f t="shared" si="48"/>
        <v>2732.010698</v>
      </c>
      <c r="Q55" s="186">
        <f t="shared" si="49"/>
        <v>41760.73495</v>
      </c>
      <c r="R55" s="171">
        <f t="shared" si="65"/>
        <v>0</v>
      </c>
      <c r="S55" s="171">
        <f t="shared" si="51"/>
        <v>0</v>
      </c>
      <c r="T55" s="171">
        <f t="shared" si="52"/>
        <v>0</v>
      </c>
      <c r="U55" s="171">
        <f t="shared" si="53"/>
        <v>0</v>
      </c>
      <c r="V55" s="171">
        <f t="shared" si="54"/>
        <v>36305.79</v>
      </c>
      <c r="W55" s="164">
        <f t="shared" si="74"/>
        <v>2722.93425</v>
      </c>
      <c r="X55" s="165">
        <f t="shared" si="56"/>
        <v>0</v>
      </c>
      <c r="Y55" s="165">
        <f t="shared" si="57"/>
        <v>0</v>
      </c>
      <c r="Z55" s="165">
        <f t="shared" si="58"/>
        <v>0</v>
      </c>
      <c r="AA55" s="165">
        <f t="shared" si="59"/>
        <v>36305.79</v>
      </c>
      <c r="AB55" s="165">
        <f t="shared" si="60"/>
        <v>0</v>
      </c>
      <c r="AC55" s="186">
        <f t="shared" si="61"/>
        <v>36305.79</v>
      </c>
      <c r="AD55" s="167"/>
      <c r="AE55" s="17"/>
      <c r="AF55" s="168"/>
      <c r="AG55" s="167"/>
      <c r="AH55" s="168"/>
      <c r="AI55" s="167"/>
      <c r="AJ55" s="17"/>
      <c r="AK55" s="168"/>
      <c r="AL55" s="185">
        <f t="shared" si="72"/>
        <v>36305.79</v>
      </c>
      <c r="AM55" s="14"/>
      <c r="AN55" s="172" t="str">
        <f t="shared" si="73"/>
        <v/>
      </c>
      <c r="AO55" s="17"/>
      <c r="AP55" s="17"/>
      <c r="AQ55" s="168"/>
      <c r="AR55" s="17"/>
      <c r="AS55" s="17"/>
      <c r="AT55" s="17"/>
      <c r="AU55" s="17"/>
      <c r="AV55" s="17"/>
      <c r="AW55" s="17"/>
      <c r="AX55" s="17"/>
      <c r="AY55" s="17"/>
      <c r="AZ55" s="176"/>
      <c r="BA55" s="177"/>
      <c r="BB55" s="17"/>
      <c r="BC55" s="17"/>
      <c r="BD55" s="173">
        <v>36305.79</v>
      </c>
      <c r="BE55" s="17"/>
      <c r="BF55" s="17"/>
      <c r="BG55" s="178">
        <v>0.0</v>
      </c>
      <c r="BH55" s="133"/>
      <c r="BI55" s="17"/>
      <c r="BJ55" s="17"/>
      <c r="BK55" s="17"/>
      <c r="BL55" s="179" t="s">
        <v>98</v>
      </c>
      <c r="BM55" s="180" t="str">
        <f t="shared" si="75"/>
        <v>#REF!</v>
      </c>
      <c r="BN55" s="2"/>
      <c r="BO55" s="2"/>
      <c r="BP55" s="133"/>
      <c r="BQ55" s="133"/>
      <c r="BR55" s="133"/>
    </row>
    <row r="56">
      <c r="A56" s="179" t="s">
        <v>217</v>
      </c>
      <c r="B56" s="152" t="s">
        <v>218</v>
      </c>
      <c r="C56" s="234"/>
      <c r="D56" s="239" t="s">
        <v>127</v>
      </c>
      <c r="E56" s="189" t="s">
        <v>196</v>
      </c>
      <c r="F56" s="156" t="s">
        <v>109</v>
      </c>
      <c r="G56" s="157">
        <v>0.15</v>
      </c>
      <c r="H56" s="157">
        <v>0.0</v>
      </c>
      <c r="I56" s="157">
        <v>0.0</v>
      </c>
      <c r="J56" s="157">
        <v>0.0</v>
      </c>
      <c r="K56" s="158">
        <v>0.0</v>
      </c>
      <c r="L56" s="159">
        <v>0.0</v>
      </c>
      <c r="M56" s="3"/>
      <c r="N56" s="160"/>
      <c r="O56" s="185">
        <f t="shared" si="67"/>
        <v>742293.3445</v>
      </c>
      <c r="P56" s="171">
        <f t="shared" si="48"/>
        <v>51960.53412</v>
      </c>
      <c r="Q56" s="186">
        <f t="shared" si="49"/>
        <v>794253.8786</v>
      </c>
      <c r="R56" s="171">
        <f t="shared" si="65"/>
        <v>0</v>
      </c>
      <c r="S56" s="171">
        <f t="shared" si="51"/>
        <v>0</v>
      </c>
      <c r="T56" s="171">
        <f t="shared" si="52"/>
        <v>0</v>
      </c>
      <c r="U56" s="171">
        <f t="shared" si="53"/>
        <v>0</v>
      </c>
      <c r="V56" s="171">
        <f t="shared" si="54"/>
        <v>464715.07</v>
      </c>
      <c r="W56" s="164">
        <f t="shared" si="74"/>
        <v>277578.2745</v>
      </c>
      <c r="X56" s="165">
        <f t="shared" si="56"/>
        <v>1187275.88</v>
      </c>
      <c r="Y56" s="165">
        <f t="shared" si="57"/>
        <v>198530.88</v>
      </c>
      <c r="Z56" s="165">
        <f t="shared" si="58"/>
        <v>0</v>
      </c>
      <c r="AA56" s="165">
        <f t="shared" si="59"/>
        <v>388656.34</v>
      </c>
      <c r="AB56" s="165">
        <f t="shared" si="60"/>
        <v>76058.73</v>
      </c>
      <c r="AC56" s="186">
        <f t="shared" si="61"/>
        <v>1850521.83</v>
      </c>
      <c r="AD56" s="167"/>
      <c r="AE56" s="17"/>
      <c r="AF56" s="168"/>
      <c r="AG56" s="167"/>
      <c r="AH56" s="168"/>
      <c r="AI56" s="167"/>
      <c r="AJ56" s="17"/>
      <c r="AK56" s="168"/>
      <c r="AL56" s="185">
        <f t="shared" si="72"/>
        <v>388656.34</v>
      </c>
      <c r="AM56" s="17"/>
      <c r="AN56" s="186">
        <f t="shared" si="73"/>
        <v>76058.73</v>
      </c>
      <c r="AO56" s="17"/>
      <c r="AP56" s="17"/>
      <c r="AQ56" s="168"/>
      <c r="AR56" s="178">
        <v>4413.54</v>
      </c>
      <c r="AS56" s="178">
        <v>1182862.34</v>
      </c>
      <c r="AT56" s="17"/>
      <c r="AU56" s="17"/>
      <c r="AV56" s="173">
        <f>17885.86+19260.66</f>
        <v>37146.52</v>
      </c>
      <c r="AW56" s="173">
        <v>161384.36</v>
      </c>
      <c r="AX56" s="17"/>
      <c r="AY56" s="17"/>
      <c r="AZ56" s="176"/>
      <c r="BA56" s="311">
        <v>140004.67</v>
      </c>
      <c r="BB56" s="173">
        <v>248651.67</v>
      </c>
      <c r="BC56" s="17"/>
      <c r="BD56" s="17"/>
      <c r="BE56" s="17"/>
      <c r="BF56" s="17"/>
      <c r="BG56" s="17"/>
      <c r="BH56" s="17"/>
      <c r="BI56" s="17"/>
      <c r="BJ56" s="17"/>
      <c r="BK56" s="173">
        <f>76058.52+0.21</f>
        <v>76058.73</v>
      </c>
      <c r="BL56" s="179" t="s">
        <v>98</v>
      </c>
      <c r="BM56" s="180" t="str">
        <f t="shared" si="75"/>
        <v>#REF!</v>
      </c>
      <c r="BN56" s="2"/>
      <c r="BO56" s="2"/>
      <c r="BP56" s="133"/>
      <c r="BQ56" s="133"/>
      <c r="BR56" s="133"/>
    </row>
    <row r="57">
      <c r="A57" s="179" t="s">
        <v>219</v>
      </c>
      <c r="B57" s="152" t="s">
        <v>218</v>
      </c>
      <c r="C57" s="234"/>
      <c r="D57" s="239" t="s">
        <v>127</v>
      </c>
      <c r="E57" s="189" t="s">
        <v>196</v>
      </c>
      <c r="F57" s="156" t="s">
        <v>109</v>
      </c>
      <c r="G57" s="157">
        <v>0.15</v>
      </c>
      <c r="H57" s="157">
        <v>0.0</v>
      </c>
      <c r="I57" s="157">
        <v>0.0</v>
      </c>
      <c r="J57" s="157">
        <v>0.0</v>
      </c>
      <c r="K57" s="158">
        <v>0.0</v>
      </c>
      <c r="L57" s="159">
        <v>0.0</v>
      </c>
      <c r="M57" s="3"/>
      <c r="N57" s="160"/>
      <c r="O57" s="185">
        <f t="shared" si="67"/>
        <v>57575.493</v>
      </c>
      <c r="P57" s="171">
        <f t="shared" si="48"/>
        <v>4030.28451</v>
      </c>
      <c r="Q57" s="186">
        <f t="shared" si="49"/>
        <v>61605.77751</v>
      </c>
      <c r="R57" s="171">
        <f t="shared" si="65"/>
        <v>0</v>
      </c>
      <c r="S57" s="171">
        <f t="shared" si="51"/>
        <v>0</v>
      </c>
      <c r="T57" s="171">
        <f t="shared" si="52"/>
        <v>0</v>
      </c>
      <c r="U57" s="171">
        <f t="shared" si="53"/>
        <v>0</v>
      </c>
      <c r="V57" s="171">
        <f t="shared" si="54"/>
        <v>0</v>
      </c>
      <c r="W57" s="164">
        <f t="shared" si="74"/>
        <v>57575.493</v>
      </c>
      <c r="X57" s="165">
        <f t="shared" si="56"/>
        <v>288735.57</v>
      </c>
      <c r="Y57" s="165">
        <f t="shared" si="57"/>
        <v>95101.05</v>
      </c>
      <c r="Z57" s="165">
        <f t="shared" si="58"/>
        <v>0</v>
      </c>
      <c r="AA57" s="165">
        <f t="shared" si="59"/>
        <v>0</v>
      </c>
      <c r="AB57" s="165">
        <f t="shared" si="60"/>
        <v>0</v>
      </c>
      <c r="AC57" s="186">
        <f t="shared" si="61"/>
        <v>383836.62</v>
      </c>
      <c r="AD57" s="167"/>
      <c r="AE57" s="17"/>
      <c r="AF57" s="168"/>
      <c r="AG57" s="167"/>
      <c r="AH57" s="168"/>
      <c r="AI57" s="167"/>
      <c r="AJ57" s="17"/>
      <c r="AK57" s="168"/>
      <c r="AL57" s="17"/>
      <c r="AM57" s="17"/>
      <c r="AN57" s="168"/>
      <c r="AO57" s="17"/>
      <c r="AP57" s="17"/>
      <c r="AQ57" s="168"/>
      <c r="AR57" s="17"/>
      <c r="AS57" s="17"/>
      <c r="AT57" s="17"/>
      <c r="AU57" s="178">
        <v>288735.57</v>
      </c>
      <c r="AV57" s="17"/>
      <c r="AW57" s="17"/>
      <c r="AX57" s="173">
        <v>95101.05</v>
      </c>
      <c r="AY57" s="17"/>
      <c r="AZ57" s="176"/>
      <c r="BA57" s="17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9" t="s">
        <v>98</v>
      </c>
      <c r="BM57" s="180" t="str">
        <f t="shared" si="75"/>
        <v>#REF!</v>
      </c>
      <c r="BN57" s="2"/>
      <c r="BO57" s="2"/>
      <c r="BP57" s="133"/>
      <c r="BQ57" s="133"/>
      <c r="BR57" s="133"/>
    </row>
    <row r="58">
      <c r="A58" s="179" t="s">
        <v>220</v>
      </c>
      <c r="B58" s="152" t="s">
        <v>218</v>
      </c>
      <c r="C58" s="234"/>
      <c r="D58" s="239" t="s">
        <v>127</v>
      </c>
      <c r="E58" s="189" t="s">
        <v>196</v>
      </c>
      <c r="F58" s="156" t="s">
        <v>109</v>
      </c>
      <c r="G58" s="157">
        <v>0.15</v>
      </c>
      <c r="H58" s="157">
        <v>0.0</v>
      </c>
      <c r="I58" s="157">
        <v>0.0</v>
      </c>
      <c r="J58" s="157">
        <v>0.0</v>
      </c>
      <c r="K58" s="158">
        <v>0.0</v>
      </c>
      <c r="L58" s="159">
        <v>0.0</v>
      </c>
      <c r="M58" s="3"/>
      <c r="N58" s="160"/>
      <c r="O58" s="185">
        <f t="shared" si="67"/>
        <v>0</v>
      </c>
      <c r="P58" s="171">
        <f t="shared" si="48"/>
        <v>0</v>
      </c>
      <c r="Q58" s="186">
        <f t="shared" si="49"/>
        <v>0</v>
      </c>
      <c r="R58" s="171">
        <f t="shared" si="65"/>
        <v>0</v>
      </c>
      <c r="S58" s="171">
        <f t="shared" si="51"/>
        <v>0</v>
      </c>
      <c r="T58" s="171">
        <f t="shared" si="52"/>
        <v>0</v>
      </c>
      <c r="U58" s="171">
        <f t="shared" si="53"/>
        <v>0</v>
      </c>
      <c r="V58" s="171">
        <f t="shared" si="54"/>
        <v>0</v>
      </c>
      <c r="W58" s="164" t="str">
        <f t="shared" si="74"/>
        <v>0</v>
      </c>
      <c r="X58" s="165">
        <f t="shared" si="56"/>
        <v>0</v>
      </c>
      <c r="Y58" s="165">
        <f t="shared" si="57"/>
        <v>0</v>
      </c>
      <c r="Z58" s="165">
        <f t="shared" si="58"/>
        <v>0</v>
      </c>
      <c r="AA58" s="165">
        <f t="shared" si="59"/>
        <v>0</v>
      </c>
      <c r="AB58" s="165">
        <f t="shared" si="60"/>
        <v>0</v>
      </c>
      <c r="AC58" s="186">
        <f t="shared" si="61"/>
        <v>0</v>
      </c>
      <c r="AD58" s="167"/>
      <c r="AE58" s="17"/>
      <c r="AF58" s="168"/>
      <c r="AG58" s="167"/>
      <c r="AH58" s="168"/>
      <c r="AI58" s="167"/>
      <c r="AJ58" s="17"/>
      <c r="AK58" s="168"/>
      <c r="AL58" s="17"/>
      <c r="AM58" s="17"/>
      <c r="AN58" s="168"/>
      <c r="AO58" s="17"/>
      <c r="AP58" s="17"/>
      <c r="AQ58" s="168"/>
      <c r="AR58" s="17"/>
      <c r="AS58" s="17"/>
      <c r="AT58" s="17"/>
      <c r="AU58" s="17"/>
      <c r="AV58" s="17"/>
      <c r="AW58" s="17"/>
      <c r="AX58" s="17"/>
      <c r="AY58" s="17"/>
      <c r="AZ58" s="176"/>
      <c r="BA58" s="177"/>
      <c r="BB58" s="17"/>
      <c r="BC58" s="133"/>
      <c r="BD58" s="17"/>
      <c r="BE58" s="17"/>
      <c r="BF58" s="17"/>
      <c r="BG58" s="17"/>
      <c r="BH58" s="17"/>
      <c r="BI58" s="17"/>
      <c r="BJ58" s="17"/>
      <c r="BK58" s="17"/>
      <c r="BL58" s="195"/>
      <c r="BM58" s="181" t="str">
        <f t="shared" si="75"/>
        <v/>
      </c>
      <c r="BN58" s="2"/>
      <c r="BO58" s="2"/>
      <c r="BP58" s="133"/>
      <c r="BQ58" s="133"/>
      <c r="BR58" s="133"/>
    </row>
    <row r="59">
      <c r="A59" s="179" t="s">
        <v>221</v>
      </c>
      <c r="B59" s="152" t="s">
        <v>218</v>
      </c>
      <c r="C59" s="234"/>
      <c r="D59" s="239" t="s">
        <v>127</v>
      </c>
      <c r="E59" s="189" t="s">
        <v>196</v>
      </c>
      <c r="F59" s="156" t="s">
        <v>109</v>
      </c>
      <c r="G59" s="157">
        <v>0.15</v>
      </c>
      <c r="H59" s="157">
        <v>0.0</v>
      </c>
      <c r="I59" s="157">
        <v>0.0</v>
      </c>
      <c r="J59" s="157">
        <v>0.0</v>
      </c>
      <c r="K59" s="158">
        <v>0.0</v>
      </c>
      <c r="L59" s="159">
        <v>0.0</v>
      </c>
      <c r="M59" s="3"/>
      <c r="N59" s="160"/>
      <c r="O59" s="185">
        <f t="shared" si="67"/>
        <v>30639.2915</v>
      </c>
      <c r="P59" s="171">
        <f t="shared" si="48"/>
        <v>2144.750405</v>
      </c>
      <c r="Q59" s="186">
        <f t="shared" si="49"/>
        <v>32784.04191</v>
      </c>
      <c r="R59" s="171">
        <f t="shared" si="65"/>
        <v>0</v>
      </c>
      <c r="S59" s="171">
        <f t="shared" si="51"/>
        <v>0</v>
      </c>
      <c r="T59" s="171">
        <f t="shared" si="52"/>
        <v>0</v>
      </c>
      <c r="U59" s="171">
        <f t="shared" si="53"/>
        <v>0</v>
      </c>
      <c r="V59" s="171">
        <f t="shared" si="54"/>
        <v>23381.21</v>
      </c>
      <c r="W59" s="164">
        <f t="shared" si="74"/>
        <v>7258.0815</v>
      </c>
      <c r="X59" s="165">
        <f t="shared" si="56"/>
        <v>25006</v>
      </c>
      <c r="Y59" s="165">
        <f t="shared" si="57"/>
        <v>0</v>
      </c>
      <c r="Z59" s="165">
        <f t="shared" si="58"/>
        <v>23381.21</v>
      </c>
      <c r="AA59" s="165">
        <f t="shared" si="59"/>
        <v>0</v>
      </c>
      <c r="AB59" s="165">
        <f t="shared" si="60"/>
        <v>0</v>
      </c>
      <c r="AC59" s="186">
        <f t="shared" si="61"/>
        <v>48387.21</v>
      </c>
      <c r="AD59" s="167"/>
      <c r="AE59" s="17"/>
      <c r="AF59" s="168"/>
      <c r="AG59" s="167"/>
      <c r="AH59" s="168"/>
      <c r="AI59" s="167"/>
      <c r="AJ59" s="17"/>
      <c r="AK59" s="168"/>
      <c r="AL59" s="17"/>
      <c r="AM59" s="171">
        <f t="shared" ref="AM59:AM64" si="76">SUM(BF59:BG59)</f>
        <v>23381.21</v>
      </c>
      <c r="AN59" s="168"/>
      <c r="AO59" s="17"/>
      <c r="AP59" s="17"/>
      <c r="AQ59" s="168"/>
      <c r="AR59" s="17"/>
      <c r="AS59" s="17"/>
      <c r="AT59" s="178">
        <v>25006.0</v>
      </c>
      <c r="AU59" s="17"/>
      <c r="AV59" s="17"/>
      <c r="AW59" s="17"/>
      <c r="AX59" s="17"/>
      <c r="AY59" s="17"/>
      <c r="AZ59" s="176"/>
      <c r="BA59" s="177"/>
      <c r="BB59" s="17"/>
      <c r="BC59" s="17"/>
      <c r="BD59" s="17"/>
      <c r="BE59" s="17"/>
      <c r="BF59" s="173">
        <f>16669.75+6711.46</f>
        <v>23381.21</v>
      </c>
      <c r="BG59" s="17"/>
      <c r="BH59" s="17"/>
      <c r="BI59" s="17"/>
      <c r="BJ59" s="17"/>
      <c r="BK59" s="17"/>
      <c r="BL59" s="179" t="s">
        <v>98</v>
      </c>
      <c r="BM59" s="180" t="str">
        <f t="shared" si="75"/>
        <v>#REF!</v>
      </c>
      <c r="BN59" s="2"/>
      <c r="BO59" s="2"/>
      <c r="BP59" s="133"/>
      <c r="BQ59" s="133"/>
      <c r="BR59" s="133"/>
    </row>
    <row r="60">
      <c r="A60" s="179" t="s">
        <v>222</v>
      </c>
      <c r="B60" s="152" t="s">
        <v>223</v>
      </c>
      <c r="C60" s="234"/>
      <c r="D60" s="239" t="s">
        <v>205</v>
      </c>
      <c r="E60" s="310"/>
      <c r="F60" s="156" t="s">
        <v>109</v>
      </c>
      <c r="G60" s="157">
        <v>0.15</v>
      </c>
      <c r="H60" s="157">
        <v>0.0</v>
      </c>
      <c r="I60" s="157">
        <v>0.0</v>
      </c>
      <c r="J60" s="157">
        <v>0.0</v>
      </c>
      <c r="K60" s="158">
        <v>0.0</v>
      </c>
      <c r="L60" s="159">
        <v>0.0</v>
      </c>
      <c r="M60" s="3"/>
      <c r="N60" s="160"/>
      <c r="O60" s="185">
        <f t="shared" si="67"/>
        <v>111092.3345</v>
      </c>
      <c r="P60" s="171">
        <f t="shared" si="48"/>
        <v>7776.463415</v>
      </c>
      <c r="Q60" s="186">
        <f t="shared" si="49"/>
        <v>118868.7979</v>
      </c>
      <c r="R60" s="171">
        <f t="shared" si="65"/>
        <v>0</v>
      </c>
      <c r="S60" s="171">
        <f t="shared" si="51"/>
        <v>0</v>
      </c>
      <c r="T60" s="171">
        <f t="shared" si="52"/>
        <v>0</v>
      </c>
      <c r="U60" s="171">
        <f t="shared" si="53"/>
        <v>0</v>
      </c>
      <c r="V60" s="171">
        <f t="shared" si="54"/>
        <v>96602.03</v>
      </c>
      <c r="W60" s="164">
        <f t="shared" si="74"/>
        <v>14490.3045</v>
      </c>
      <c r="X60" s="165">
        <f t="shared" si="56"/>
        <v>0</v>
      </c>
      <c r="Y60" s="165">
        <f t="shared" si="57"/>
        <v>0</v>
      </c>
      <c r="Z60" s="165">
        <f t="shared" si="58"/>
        <v>59481.36</v>
      </c>
      <c r="AA60" s="165">
        <f t="shared" si="59"/>
        <v>37120.67</v>
      </c>
      <c r="AB60" s="165">
        <f t="shared" si="60"/>
        <v>0</v>
      </c>
      <c r="AC60" s="186">
        <f t="shared" si="61"/>
        <v>96602.03</v>
      </c>
      <c r="AD60" s="167"/>
      <c r="AE60" s="17"/>
      <c r="AF60" s="168"/>
      <c r="AG60" s="167"/>
      <c r="AH60" s="168"/>
      <c r="AI60" s="167"/>
      <c r="AJ60" s="17"/>
      <c r="AK60" s="168"/>
      <c r="AL60" s="185">
        <f t="shared" ref="AL60:AL71" si="77">SUM(BA60:BD60)</f>
        <v>37120.67</v>
      </c>
      <c r="AM60" s="171">
        <f t="shared" si="76"/>
        <v>59481.36</v>
      </c>
      <c r="AN60" s="168" t="str">
        <f t="shared" ref="AN60:AN74" si="78">BK60</f>
        <v/>
      </c>
      <c r="AO60" s="17"/>
      <c r="AP60" s="17"/>
      <c r="AQ60" s="168"/>
      <c r="AR60" s="17"/>
      <c r="AS60" s="17"/>
      <c r="AT60" s="17"/>
      <c r="AU60" s="17"/>
      <c r="AV60" s="17"/>
      <c r="AW60" s="17"/>
      <c r="AX60" s="17"/>
      <c r="AY60" s="17"/>
      <c r="AZ60" s="17"/>
      <c r="BA60" s="311">
        <v>14549.01</v>
      </c>
      <c r="BB60" s="173">
        <v>22571.66</v>
      </c>
      <c r="BC60" s="17"/>
      <c r="BD60" s="17"/>
      <c r="BE60" s="17"/>
      <c r="BF60" s="173">
        <v>59481.36</v>
      </c>
      <c r="BG60" s="17"/>
      <c r="BH60" s="17"/>
      <c r="BI60" s="17"/>
      <c r="BJ60" s="17"/>
      <c r="BK60" s="17"/>
      <c r="BL60" s="179" t="s">
        <v>98</v>
      </c>
      <c r="BM60" s="180" t="str">
        <f t="shared" si="75"/>
        <v>#REF!</v>
      </c>
      <c r="BN60" s="2"/>
      <c r="BO60" s="2"/>
      <c r="BP60" s="133"/>
      <c r="BQ60" s="133"/>
      <c r="BR60" s="133"/>
    </row>
    <row r="61">
      <c r="A61" s="179" t="s">
        <v>224</v>
      </c>
      <c r="B61" s="152" t="s">
        <v>225</v>
      </c>
      <c r="C61" s="234"/>
      <c r="D61" s="315" t="s">
        <v>226</v>
      </c>
      <c r="E61" s="316" t="s">
        <v>227</v>
      </c>
      <c r="F61" s="317" t="s">
        <v>109</v>
      </c>
      <c r="G61" s="318">
        <v>0.0</v>
      </c>
      <c r="H61" s="318">
        <v>0.0</v>
      </c>
      <c r="I61" s="318">
        <v>0.0</v>
      </c>
      <c r="J61" s="318">
        <v>0.0</v>
      </c>
      <c r="K61" s="319">
        <v>0.0</v>
      </c>
      <c r="L61" s="320">
        <v>0.0</v>
      </c>
      <c r="M61" s="3"/>
      <c r="N61" s="160"/>
      <c r="O61" s="321">
        <f t="shared" si="67"/>
        <v>55270.62</v>
      </c>
      <c r="P61" s="322">
        <f t="shared" si="48"/>
        <v>3868.9434</v>
      </c>
      <c r="Q61" s="323">
        <f t="shared" si="49"/>
        <v>59139.5634</v>
      </c>
      <c r="R61" s="322">
        <f t="shared" si="65"/>
        <v>0</v>
      </c>
      <c r="S61" s="322">
        <f t="shared" si="51"/>
        <v>0</v>
      </c>
      <c r="T61" s="322">
        <f t="shared" si="52"/>
        <v>0</v>
      </c>
      <c r="U61" s="322">
        <f t="shared" si="53"/>
        <v>0</v>
      </c>
      <c r="V61" s="322">
        <f t="shared" si="54"/>
        <v>55270.62</v>
      </c>
      <c r="W61" s="165">
        <f t="shared" si="74"/>
        <v>0</v>
      </c>
      <c r="X61" s="165">
        <f t="shared" si="56"/>
        <v>0</v>
      </c>
      <c r="Y61" s="165">
        <f t="shared" si="57"/>
        <v>0</v>
      </c>
      <c r="Z61" s="165">
        <f t="shared" si="58"/>
        <v>55270.62</v>
      </c>
      <c r="AA61" s="165">
        <f t="shared" si="59"/>
        <v>0</v>
      </c>
      <c r="AB61" s="165">
        <f t="shared" si="60"/>
        <v>0</v>
      </c>
      <c r="AC61" s="323">
        <f t="shared" si="61"/>
        <v>55270.62</v>
      </c>
      <c r="AD61" s="167"/>
      <c r="AE61" s="17"/>
      <c r="AF61" s="168"/>
      <c r="AG61" s="167"/>
      <c r="AH61" s="168"/>
      <c r="AI61" s="167"/>
      <c r="AJ61" s="17"/>
      <c r="AK61" s="168"/>
      <c r="AL61" s="185">
        <f t="shared" si="77"/>
        <v>0</v>
      </c>
      <c r="AM61" s="171">
        <f t="shared" si="76"/>
        <v>55270.62</v>
      </c>
      <c r="AN61" s="168" t="str">
        <f t="shared" si="78"/>
        <v/>
      </c>
      <c r="AO61" s="17"/>
      <c r="AP61" s="17"/>
      <c r="AQ61" s="168"/>
      <c r="AR61" s="17"/>
      <c r="AS61" s="17"/>
      <c r="AT61" s="17"/>
      <c r="AU61" s="17"/>
      <c r="AV61" s="17"/>
      <c r="AW61" s="17"/>
      <c r="AX61" s="17"/>
      <c r="AY61" s="17"/>
      <c r="AZ61" s="176"/>
      <c r="BA61" s="177"/>
      <c r="BB61" s="17"/>
      <c r="BC61" s="17"/>
      <c r="BD61" s="17"/>
      <c r="BE61" s="17"/>
      <c r="BF61" s="173">
        <f>45083.9+10186.72</f>
        <v>55270.62</v>
      </c>
      <c r="BG61" s="17"/>
      <c r="BH61" s="17"/>
      <c r="BI61" s="17"/>
      <c r="BJ61" s="17"/>
      <c r="BK61" s="17"/>
      <c r="BL61" s="179" t="s">
        <v>98</v>
      </c>
      <c r="BM61" s="180" t="str">
        <f t="shared" si="75"/>
        <v>#REF!</v>
      </c>
      <c r="BN61" s="2"/>
      <c r="BO61" s="2"/>
      <c r="BP61" s="133"/>
      <c r="BQ61" s="133"/>
      <c r="BR61" s="133"/>
    </row>
    <row r="62">
      <c r="A62" s="179" t="s">
        <v>228</v>
      </c>
      <c r="B62" s="152" t="s">
        <v>225</v>
      </c>
      <c r="C62" s="234"/>
      <c r="D62" s="315" t="s">
        <v>226</v>
      </c>
      <c r="E62" s="316" t="s">
        <v>227</v>
      </c>
      <c r="F62" s="317" t="s">
        <v>109</v>
      </c>
      <c r="G62" s="318">
        <v>0.0</v>
      </c>
      <c r="H62" s="318">
        <v>0.0</v>
      </c>
      <c r="I62" s="318">
        <v>0.0</v>
      </c>
      <c r="J62" s="318">
        <v>0.0</v>
      </c>
      <c r="K62" s="319">
        <v>0.0</v>
      </c>
      <c r="L62" s="320">
        <v>0.0</v>
      </c>
      <c r="M62" s="3"/>
      <c r="N62" s="160"/>
      <c r="O62" s="321">
        <f t="shared" si="67"/>
        <v>148356.52</v>
      </c>
      <c r="P62" s="322">
        <f t="shared" si="48"/>
        <v>10384.9564</v>
      </c>
      <c r="Q62" s="323">
        <f t="shared" si="49"/>
        <v>158741.4764</v>
      </c>
      <c r="R62" s="322">
        <f t="shared" si="65"/>
        <v>0</v>
      </c>
      <c r="S62" s="322">
        <f t="shared" si="51"/>
        <v>0</v>
      </c>
      <c r="T62" s="322">
        <f t="shared" si="52"/>
        <v>0</v>
      </c>
      <c r="U62" s="322">
        <f t="shared" si="53"/>
        <v>0</v>
      </c>
      <c r="V62" s="322">
        <f t="shared" si="54"/>
        <v>148356.52</v>
      </c>
      <c r="W62" s="165">
        <f t="shared" si="74"/>
        <v>0</v>
      </c>
      <c r="X62" s="165">
        <f t="shared" si="56"/>
        <v>0</v>
      </c>
      <c r="Y62" s="165">
        <f t="shared" si="57"/>
        <v>0</v>
      </c>
      <c r="Z62" s="165">
        <f t="shared" si="58"/>
        <v>158825.93</v>
      </c>
      <c r="AA62" s="165">
        <f t="shared" si="59"/>
        <v>0</v>
      </c>
      <c r="AB62" s="165">
        <f t="shared" si="60"/>
        <v>0</v>
      </c>
      <c r="AC62" s="323">
        <f t="shared" si="61"/>
        <v>158825.93</v>
      </c>
      <c r="AD62" s="167"/>
      <c r="AE62" s="17"/>
      <c r="AF62" s="168"/>
      <c r="AG62" s="167"/>
      <c r="AH62" s="168"/>
      <c r="AI62" s="167"/>
      <c r="AJ62" s="17"/>
      <c r="AK62" s="168"/>
      <c r="AL62" s="185">
        <f t="shared" si="77"/>
        <v>0</v>
      </c>
      <c r="AM62" s="171">
        <f t="shared" si="76"/>
        <v>148356.52</v>
      </c>
      <c r="AN62" s="168" t="str">
        <f t="shared" si="78"/>
        <v/>
      </c>
      <c r="AO62" s="17"/>
      <c r="AP62" s="17"/>
      <c r="AQ62" s="168"/>
      <c r="AR62" s="17"/>
      <c r="AS62" s="17"/>
      <c r="AT62" s="17"/>
      <c r="AU62" s="17"/>
      <c r="AV62" s="17"/>
      <c r="AW62" s="17"/>
      <c r="AX62" s="17"/>
      <c r="AY62" s="17"/>
      <c r="AZ62" s="176"/>
      <c r="BA62" s="177"/>
      <c r="BB62" s="17"/>
      <c r="BC62" s="17"/>
      <c r="BD62" s="17"/>
      <c r="BE62" s="17"/>
      <c r="BF62" s="173">
        <f>126858.59+21497.93</f>
        <v>148356.52</v>
      </c>
      <c r="BG62" s="17"/>
      <c r="BH62" s="173">
        <v>10469.41</v>
      </c>
      <c r="BI62" s="17"/>
      <c r="BJ62" s="17"/>
      <c r="BK62" s="17"/>
      <c r="BL62" s="151" t="s">
        <v>98</v>
      </c>
      <c r="BM62" s="180" t="str">
        <f t="shared" si="75"/>
        <v>#REF!</v>
      </c>
      <c r="BN62" s="2"/>
      <c r="BO62" s="2"/>
      <c r="BP62" s="133"/>
      <c r="BQ62" s="133"/>
      <c r="BR62" s="133"/>
    </row>
    <row r="63">
      <c r="A63" s="179" t="s">
        <v>229</v>
      </c>
      <c r="B63" s="152" t="s">
        <v>225</v>
      </c>
      <c r="C63" s="234"/>
      <c r="D63" s="315" t="s">
        <v>226</v>
      </c>
      <c r="E63" s="316" t="s">
        <v>227</v>
      </c>
      <c r="F63" s="317" t="s">
        <v>109</v>
      </c>
      <c r="G63" s="318">
        <v>0.0</v>
      </c>
      <c r="H63" s="318">
        <v>0.0</v>
      </c>
      <c r="I63" s="318">
        <v>0.0</v>
      </c>
      <c r="J63" s="318">
        <v>0.0</v>
      </c>
      <c r="K63" s="319">
        <v>0.0</v>
      </c>
      <c r="L63" s="320">
        <v>0.0</v>
      </c>
      <c r="M63" s="3"/>
      <c r="N63" s="160"/>
      <c r="O63" s="321">
        <f t="shared" si="67"/>
        <v>17935.57</v>
      </c>
      <c r="P63" s="322">
        <f t="shared" si="48"/>
        <v>1255.4899</v>
      </c>
      <c r="Q63" s="323">
        <f t="shared" si="49"/>
        <v>19191.0599</v>
      </c>
      <c r="R63" s="322">
        <f t="shared" si="65"/>
        <v>0</v>
      </c>
      <c r="S63" s="322">
        <f t="shared" si="51"/>
        <v>0</v>
      </c>
      <c r="T63" s="322">
        <f t="shared" si="52"/>
        <v>0</v>
      </c>
      <c r="U63" s="322">
        <f t="shared" si="53"/>
        <v>0</v>
      </c>
      <c r="V63" s="322">
        <f t="shared" si="54"/>
        <v>17935.57</v>
      </c>
      <c r="W63" s="165">
        <f t="shared" si="74"/>
        <v>0</v>
      </c>
      <c r="X63" s="165">
        <f t="shared" si="56"/>
        <v>32857.19</v>
      </c>
      <c r="Y63" s="165">
        <f t="shared" si="57"/>
        <v>29629.58</v>
      </c>
      <c r="Z63" s="165">
        <f t="shared" si="58"/>
        <v>17935.57</v>
      </c>
      <c r="AA63" s="165">
        <f t="shared" si="59"/>
        <v>0</v>
      </c>
      <c r="AB63" s="165">
        <f t="shared" si="60"/>
        <v>0</v>
      </c>
      <c r="AC63" s="323">
        <f t="shared" si="61"/>
        <v>80422.34</v>
      </c>
      <c r="AD63" s="167"/>
      <c r="AE63" s="17"/>
      <c r="AF63" s="168"/>
      <c r="AG63" s="167"/>
      <c r="AH63" s="168"/>
      <c r="AI63" s="167"/>
      <c r="AJ63" s="17"/>
      <c r="AK63" s="168"/>
      <c r="AL63" s="185">
        <f t="shared" si="77"/>
        <v>0</v>
      </c>
      <c r="AM63" s="171">
        <f t="shared" si="76"/>
        <v>17935.57</v>
      </c>
      <c r="AN63" s="168" t="str">
        <f t="shared" si="78"/>
        <v/>
      </c>
      <c r="AO63" s="17"/>
      <c r="AP63" s="17"/>
      <c r="AQ63" s="168"/>
      <c r="AR63" s="17"/>
      <c r="AS63" s="173">
        <v>30259.46</v>
      </c>
      <c r="AT63" s="173">
        <v>2597.73</v>
      </c>
      <c r="AU63" s="17"/>
      <c r="AV63" s="173">
        <f>14362.4+15267.18</f>
        <v>29629.58</v>
      </c>
      <c r="AW63" s="17"/>
      <c r="AX63" s="17"/>
      <c r="AY63" s="17"/>
      <c r="AZ63" s="176"/>
      <c r="BA63" s="177"/>
      <c r="BB63" s="17"/>
      <c r="BC63" s="17"/>
      <c r="BD63" s="17"/>
      <c r="BE63" s="17"/>
      <c r="BF63" s="173">
        <f>12117.92+5817.65</f>
        <v>17935.57</v>
      </c>
      <c r="BG63" s="17"/>
      <c r="BH63" s="17"/>
      <c r="BI63" s="17"/>
      <c r="BJ63" s="17"/>
      <c r="BK63" s="17"/>
      <c r="BL63" s="179" t="s">
        <v>98</v>
      </c>
      <c r="BM63" s="180" t="str">
        <f t="shared" si="75"/>
        <v>#REF!</v>
      </c>
      <c r="BN63" s="2"/>
      <c r="BO63" s="2"/>
      <c r="BP63" s="133"/>
      <c r="BQ63" s="133"/>
      <c r="BR63" s="133"/>
    </row>
    <row r="64">
      <c r="A64" s="179" t="s">
        <v>230</v>
      </c>
      <c r="B64" s="152" t="s">
        <v>225</v>
      </c>
      <c r="C64" s="234"/>
      <c r="D64" s="315" t="s">
        <v>226</v>
      </c>
      <c r="E64" s="316" t="s">
        <v>227</v>
      </c>
      <c r="F64" s="317" t="s">
        <v>109</v>
      </c>
      <c r="G64" s="318">
        <v>0.0</v>
      </c>
      <c r="H64" s="318">
        <v>0.0</v>
      </c>
      <c r="I64" s="318">
        <v>0.0</v>
      </c>
      <c r="J64" s="318">
        <v>0.0</v>
      </c>
      <c r="K64" s="319">
        <v>0.0</v>
      </c>
      <c r="L64" s="320">
        <v>0.0</v>
      </c>
      <c r="M64" s="3"/>
      <c r="N64" s="160"/>
      <c r="O64" s="321">
        <f t="shared" si="67"/>
        <v>39745.54</v>
      </c>
      <c r="P64" s="322">
        <f t="shared" si="48"/>
        <v>2782.1878</v>
      </c>
      <c r="Q64" s="323">
        <f t="shared" si="49"/>
        <v>42527.7278</v>
      </c>
      <c r="R64" s="322">
        <f t="shared" si="65"/>
        <v>0</v>
      </c>
      <c r="S64" s="322">
        <f t="shared" si="51"/>
        <v>0</v>
      </c>
      <c r="T64" s="322">
        <f t="shared" si="52"/>
        <v>0</v>
      </c>
      <c r="U64" s="322">
        <f t="shared" si="53"/>
        <v>0</v>
      </c>
      <c r="V64" s="322">
        <f t="shared" si="54"/>
        <v>39745.54</v>
      </c>
      <c r="W64" s="165">
        <f t="shared" si="74"/>
        <v>0</v>
      </c>
      <c r="X64" s="165">
        <f t="shared" si="56"/>
        <v>49018.96</v>
      </c>
      <c r="Y64" s="165">
        <f t="shared" si="57"/>
        <v>38936.36</v>
      </c>
      <c r="Z64" s="165">
        <f t="shared" si="58"/>
        <v>39975.6</v>
      </c>
      <c r="AA64" s="165">
        <f t="shared" si="59"/>
        <v>0</v>
      </c>
      <c r="AB64" s="165">
        <f t="shared" si="60"/>
        <v>0</v>
      </c>
      <c r="AC64" s="323">
        <f t="shared" si="61"/>
        <v>127930.92</v>
      </c>
      <c r="AD64" s="167"/>
      <c r="AE64" s="17"/>
      <c r="AF64" s="168"/>
      <c r="AG64" s="167"/>
      <c r="AH64" s="168"/>
      <c r="AI64" s="167"/>
      <c r="AJ64" s="17"/>
      <c r="AK64" s="168"/>
      <c r="AL64" s="185">
        <f t="shared" si="77"/>
        <v>0</v>
      </c>
      <c r="AM64" s="171">
        <f t="shared" si="76"/>
        <v>39745.54</v>
      </c>
      <c r="AN64" s="168" t="str">
        <f t="shared" si="78"/>
        <v/>
      </c>
      <c r="AO64" s="17"/>
      <c r="AP64" s="17"/>
      <c r="AQ64" s="168"/>
      <c r="AR64" s="17"/>
      <c r="AS64" s="173">
        <v>49018.96</v>
      </c>
      <c r="AT64" s="17"/>
      <c r="AU64" s="17"/>
      <c r="AV64" s="173">
        <f>22626.77+16309.59</f>
        <v>38936.36</v>
      </c>
      <c r="AW64" s="17"/>
      <c r="AX64" s="17"/>
      <c r="AY64" s="17"/>
      <c r="AZ64" s="176"/>
      <c r="BA64" s="177"/>
      <c r="BB64" s="17"/>
      <c r="BC64" s="17"/>
      <c r="BD64" s="17"/>
      <c r="BE64" s="17"/>
      <c r="BF64" s="173">
        <f>29803.81+9941.73</f>
        <v>39745.54</v>
      </c>
      <c r="BG64" s="17"/>
      <c r="BH64" s="173">
        <v>230.06</v>
      </c>
      <c r="BI64" s="17"/>
      <c r="BJ64" s="17"/>
      <c r="BK64" s="17"/>
      <c r="BL64" s="179" t="s">
        <v>98</v>
      </c>
      <c r="BM64" s="180" t="str">
        <f t="shared" si="75"/>
        <v>#REF!</v>
      </c>
      <c r="BN64" s="2"/>
      <c r="BO64" s="2"/>
      <c r="BP64" s="133"/>
      <c r="BQ64" s="133"/>
      <c r="BR64" s="133"/>
    </row>
    <row r="65">
      <c r="A65" s="179" t="s">
        <v>231</v>
      </c>
      <c r="B65" s="152" t="s">
        <v>225</v>
      </c>
      <c r="C65" s="234"/>
      <c r="D65" s="315" t="s">
        <v>226</v>
      </c>
      <c r="E65" s="316" t="s">
        <v>227</v>
      </c>
      <c r="F65" s="317" t="s">
        <v>109</v>
      </c>
      <c r="G65" s="318">
        <v>0.0</v>
      </c>
      <c r="H65" s="318">
        <v>0.0</v>
      </c>
      <c r="I65" s="318">
        <v>0.0</v>
      </c>
      <c r="J65" s="318">
        <v>0.0</v>
      </c>
      <c r="K65" s="319">
        <v>0.0</v>
      </c>
      <c r="L65" s="320">
        <v>0.0</v>
      </c>
      <c r="M65" s="3"/>
      <c r="N65" s="160"/>
      <c r="O65" s="321">
        <f t="shared" si="67"/>
        <v>0</v>
      </c>
      <c r="P65" s="322">
        <f t="shared" si="48"/>
        <v>0</v>
      </c>
      <c r="Q65" s="323">
        <f t="shared" si="49"/>
        <v>0</v>
      </c>
      <c r="R65" s="322">
        <f t="shared" si="65"/>
        <v>0</v>
      </c>
      <c r="S65" s="322">
        <f t="shared" si="51"/>
        <v>0</v>
      </c>
      <c r="T65" s="322">
        <f t="shared" si="52"/>
        <v>0</v>
      </c>
      <c r="U65" s="322">
        <f t="shared" si="53"/>
        <v>0</v>
      </c>
      <c r="V65" s="322">
        <f t="shared" si="54"/>
        <v>0</v>
      </c>
      <c r="W65" s="165">
        <f t="shared" si="74"/>
        <v>0</v>
      </c>
      <c r="X65" s="165">
        <f t="shared" si="56"/>
        <v>48956.72</v>
      </c>
      <c r="Y65" s="165">
        <f t="shared" si="57"/>
        <v>0</v>
      </c>
      <c r="Z65" s="165">
        <f t="shared" si="58"/>
        <v>0</v>
      </c>
      <c r="AA65" s="165">
        <f t="shared" si="59"/>
        <v>0</v>
      </c>
      <c r="AB65" s="165">
        <f t="shared" si="60"/>
        <v>0</v>
      </c>
      <c r="AC65" s="323">
        <f t="shared" si="61"/>
        <v>48956.72</v>
      </c>
      <c r="AD65" s="167"/>
      <c r="AE65" s="17"/>
      <c r="AF65" s="168"/>
      <c r="AG65" s="167"/>
      <c r="AH65" s="168"/>
      <c r="AI65" s="167"/>
      <c r="AJ65" s="17"/>
      <c r="AK65" s="168"/>
      <c r="AL65" s="185">
        <f t="shared" si="77"/>
        <v>0</v>
      </c>
      <c r="AM65" s="17"/>
      <c r="AN65" s="168" t="str">
        <f t="shared" si="78"/>
        <v/>
      </c>
      <c r="AO65" s="17"/>
      <c r="AP65" s="17"/>
      <c r="AQ65" s="168"/>
      <c r="AR65" s="17"/>
      <c r="AS65" s="173">
        <v>47578.38</v>
      </c>
      <c r="AT65" s="173">
        <v>1378.34</v>
      </c>
      <c r="AU65" s="17"/>
      <c r="AV65" s="17"/>
      <c r="AW65" s="17"/>
      <c r="AX65" s="17"/>
      <c r="AY65" s="17"/>
      <c r="AZ65" s="176"/>
      <c r="BA65" s="17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9" t="s">
        <v>98</v>
      </c>
      <c r="BM65" s="180" t="str">
        <f t="shared" si="75"/>
        <v>#REF!</v>
      </c>
      <c r="BN65" s="2"/>
      <c r="BO65" s="2"/>
      <c r="BP65" s="133"/>
      <c r="BQ65" s="133"/>
      <c r="BR65" s="133"/>
    </row>
    <row r="66">
      <c r="A66" s="179" t="s">
        <v>232</v>
      </c>
      <c r="B66" s="188" t="s">
        <v>225</v>
      </c>
      <c r="C66" s="234"/>
      <c r="D66" s="315" t="s">
        <v>226</v>
      </c>
      <c r="E66" s="316" t="s">
        <v>227</v>
      </c>
      <c r="F66" s="317" t="s">
        <v>109</v>
      </c>
      <c r="G66" s="318">
        <v>0.1</v>
      </c>
      <c r="H66" s="318">
        <v>0.0</v>
      </c>
      <c r="I66" s="318">
        <v>0.0</v>
      </c>
      <c r="J66" s="318">
        <v>0.0</v>
      </c>
      <c r="K66" s="319">
        <v>0.0</v>
      </c>
      <c r="L66" s="159">
        <v>35000.0</v>
      </c>
      <c r="M66" s="3"/>
      <c r="N66" s="160"/>
      <c r="O66" s="321">
        <f t="shared" si="67"/>
        <v>47140.653</v>
      </c>
      <c r="P66" s="322">
        <f t="shared" si="48"/>
        <v>3299.84571</v>
      </c>
      <c r="Q66" s="323">
        <f t="shared" si="49"/>
        <v>50440.49871</v>
      </c>
      <c r="R66" s="322">
        <f t="shared" si="65"/>
        <v>0</v>
      </c>
      <c r="S66" s="322">
        <f t="shared" si="51"/>
        <v>0</v>
      </c>
      <c r="T66" s="322">
        <f t="shared" si="52"/>
        <v>0</v>
      </c>
      <c r="U66" s="322">
        <f t="shared" si="53"/>
        <v>0</v>
      </c>
      <c r="V66" s="322">
        <v>0.0</v>
      </c>
      <c r="W66" s="171">
        <f>ifs(((AC66+AC67+AC68+AC69+AC70)*G66)&gt;L66,(AC66+AC67+AC68+AC69+AC70)*G66,(AC66+AC67+AC68+AC69+AC70)=0,"0",((AC66+AC67+AC68+AC69+AC70)*G66)&lt;=L66,L66)</f>
        <v>47140.653</v>
      </c>
      <c r="X66" s="165">
        <f t="shared" si="56"/>
        <v>0</v>
      </c>
      <c r="Y66" s="165">
        <f t="shared" si="57"/>
        <v>0</v>
      </c>
      <c r="Z66" s="165">
        <f t="shared" si="58"/>
        <v>55270.62</v>
      </c>
      <c r="AA66" s="165">
        <f t="shared" si="59"/>
        <v>0</v>
      </c>
      <c r="AB66" s="165">
        <f t="shared" si="60"/>
        <v>0</v>
      </c>
      <c r="AC66" s="323">
        <f t="shared" si="61"/>
        <v>55270.62</v>
      </c>
      <c r="AD66" s="167"/>
      <c r="AE66" s="17"/>
      <c r="AF66" s="168"/>
      <c r="AG66" s="167"/>
      <c r="AH66" s="168"/>
      <c r="AI66" s="167"/>
      <c r="AJ66" s="17"/>
      <c r="AK66" s="168"/>
      <c r="AL66" s="185">
        <f t="shared" si="77"/>
        <v>0</v>
      </c>
      <c r="AM66" s="171">
        <f t="shared" ref="AM66:AM70" si="79">SUM(BF66:BG66)</f>
        <v>55270.62</v>
      </c>
      <c r="AN66" s="168" t="str">
        <f t="shared" si="78"/>
        <v/>
      </c>
      <c r="AO66" s="17"/>
      <c r="AP66" s="17"/>
      <c r="AQ66" s="168"/>
      <c r="AR66" s="17"/>
      <c r="AS66" s="17"/>
      <c r="AT66" s="17"/>
      <c r="AU66" s="17"/>
      <c r="AV66" s="17"/>
      <c r="AW66" s="17"/>
      <c r="AX66" s="17"/>
      <c r="AY66" s="17"/>
      <c r="AZ66" s="176"/>
      <c r="BA66" s="177"/>
      <c r="BB66" s="17"/>
      <c r="BC66" s="17"/>
      <c r="BD66" s="17"/>
      <c r="BE66" s="17"/>
      <c r="BF66" s="173">
        <f t="shared" ref="BF66:BF69" si="80">BF61</f>
        <v>55270.62</v>
      </c>
      <c r="BG66" s="17"/>
      <c r="BH66" s="17"/>
      <c r="BI66" s="17"/>
      <c r="BJ66" s="17"/>
      <c r="BK66" s="17"/>
      <c r="BL66" s="179" t="s">
        <v>98</v>
      </c>
      <c r="BM66" s="181"/>
      <c r="BN66" s="2"/>
      <c r="BO66" s="2"/>
      <c r="BP66" s="133"/>
      <c r="BQ66" s="133"/>
      <c r="BR66" s="133"/>
    </row>
    <row r="67">
      <c r="A67" s="179" t="s">
        <v>233</v>
      </c>
      <c r="B67" s="188" t="s">
        <v>225</v>
      </c>
      <c r="C67" s="234"/>
      <c r="D67" s="315" t="s">
        <v>226</v>
      </c>
      <c r="E67" s="316" t="s">
        <v>227</v>
      </c>
      <c r="F67" s="317" t="s">
        <v>109</v>
      </c>
      <c r="G67" s="318">
        <v>0.1</v>
      </c>
      <c r="H67" s="318">
        <v>0.0</v>
      </c>
      <c r="I67" s="318">
        <v>0.0</v>
      </c>
      <c r="J67" s="318">
        <v>0.0</v>
      </c>
      <c r="K67" s="319">
        <v>0.0</v>
      </c>
      <c r="M67" s="3"/>
      <c r="N67" s="160"/>
      <c r="O67" s="321">
        <f t="shared" si="67"/>
        <v>0</v>
      </c>
      <c r="P67" s="322">
        <f t="shared" si="48"/>
        <v>0</v>
      </c>
      <c r="Q67" s="323">
        <f t="shared" si="49"/>
        <v>0</v>
      </c>
      <c r="R67" s="322">
        <f t="shared" si="65"/>
        <v>0</v>
      </c>
      <c r="S67" s="322">
        <f t="shared" si="51"/>
        <v>0</v>
      </c>
      <c r="T67" s="322">
        <f t="shared" si="52"/>
        <v>0</v>
      </c>
      <c r="U67" s="322">
        <f t="shared" si="53"/>
        <v>0</v>
      </c>
      <c r="V67" s="322">
        <v>0.0</v>
      </c>
      <c r="X67" s="165">
        <f t="shared" si="56"/>
        <v>0</v>
      </c>
      <c r="Y67" s="165">
        <f t="shared" si="57"/>
        <v>0</v>
      </c>
      <c r="Z67" s="165">
        <f t="shared" si="58"/>
        <v>158825.93</v>
      </c>
      <c r="AA67" s="165">
        <f t="shared" si="59"/>
        <v>0</v>
      </c>
      <c r="AB67" s="165">
        <f t="shared" si="60"/>
        <v>0</v>
      </c>
      <c r="AC67" s="323">
        <f t="shared" si="61"/>
        <v>158825.93</v>
      </c>
      <c r="AD67" s="167"/>
      <c r="AE67" s="17"/>
      <c r="AF67" s="168"/>
      <c r="AG67" s="167"/>
      <c r="AH67" s="168"/>
      <c r="AI67" s="167"/>
      <c r="AJ67" s="17"/>
      <c r="AK67" s="168"/>
      <c r="AL67" s="185">
        <f t="shared" si="77"/>
        <v>0</v>
      </c>
      <c r="AM67" s="171">
        <f t="shared" si="79"/>
        <v>148356.52</v>
      </c>
      <c r="AN67" s="168" t="str">
        <f t="shared" si="78"/>
        <v/>
      </c>
      <c r="AO67" s="17"/>
      <c r="AP67" s="17"/>
      <c r="AQ67" s="168"/>
      <c r="AR67" s="17"/>
      <c r="AS67" s="17"/>
      <c r="AT67" s="17"/>
      <c r="AU67" s="17"/>
      <c r="AV67" s="17"/>
      <c r="AW67" s="17"/>
      <c r="AX67" s="17"/>
      <c r="AY67" s="17"/>
      <c r="AZ67" s="176"/>
      <c r="BA67" s="177"/>
      <c r="BB67" s="17"/>
      <c r="BC67" s="17"/>
      <c r="BD67" s="17"/>
      <c r="BE67" s="17"/>
      <c r="BF67" s="173">
        <f t="shared" si="80"/>
        <v>148356.52</v>
      </c>
      <c r="BG67" s="17"/>
      <c r="BH67" s="173">
        <f>BH62</f>
        <v>10469.41</v>
      </c>
      <c r="BI67" s="17"/>
      <c r="BJ67" s="17"/>
      <c r="BK67" s="17"/>
      <c r="BL67" s="179" t="s">
        <v>98</v>
      </c>
      <c r="BM67" s="181"/>
      <c r="BN67" s="2"/>
      <c r="BO67" s="2"/>
      <c r="BP67" s="133"/>
      <c r="BQ67" s="133"/>
      <c r="BR67" s="133"/>
    </row>
    <row r="68">
      <c r="A68" s="179" t="s">
        <v>234</v>
      </c>
      <c r="B68" s="188" t="s">
        <v>225</v>
      </c>
      <c r="C68" s="234"/>
      <c r="D68" s="315" t="s">
        <v>226</v>
      </c>
      <c r="E68" s="316" t="s">
        <v>227</v>
      </c>
      <c r="F68" s="317" t="s">
        <v>109</v>
      </c>
      <c r="G68" s="318">
        <v>0.1</v>
      </c>
      <c r="H68" s="318">
        <v>0.0</v>
      </c>
      <c r="I68" s="318">
        <v>0.0</v>
      </c>
      <c r="J68" s="318">
        <v>0.0</v>
      </c>
      <c r="K68" s="319">
        <v>0.0</v>
      </c>
      <c r="M68" s="3"/>
      <c r="N68" s="160"/>
      <c r="O68" s="321">
        <f t="shared" si="67"/>
        <v>0</v>
      </c>
      <c r="P68" s="322">
        <f t="shared" si="48"/>
        <v>0</v>
      </c>
      <c r="Q68" s="323">
        <f t="shared" si="49"/>
        <v>0</v>
      </c>
      <c r="R68" s="322">
        <f t="shared" si="65"/>
        <v>0</v>
      </c>
      <c r="S68" s="322">
        <f t="shared" si="51"/>
        <v>0</v>
      </c>
      <c r="T68" s="322">
        <f t="shared" si="52"/>
        <v>0</v>
      </c>
      <c r="U68" s="322">
        <f t="shared" si="53"/>
        <v>0</v>
      </c>
      <c r="V68" s="322">
        <v>0.0</v>
      </c>
      <c r="X68" s="165">
        <f t="shared" si="56"/>
        <v>32857.19</v>
      </c>
      <c r="Y68" s="165">
        <f t="shared" si="57"/>
        <v>29629.58</v>
      </c>
      <c r="Z68" s="165">
        <f t="shared" si="58"/>
        <v>17935.57</v>
      </c>
      <c r="AA68" s="165">
        <f t="shared" si="59"/>
        <v>0</v>
      </c>
      <c r="AB68" s="165">
        <f t="shared" si="60"/>
        <v>0</v>
      </c>
      <c r="AC68" s="323">
        <f t="shared" si="61"/>
        <v>80422.34</v>
      </c>
      <c r="AD68" s="167"/>
      <c r="AE68" s="17"/>
      <c r="AF68" s="168"/>
      <c r="AG68" s="167"/>
      <c r="AH68" s="168"/>
      <c r="AI68" s="167"/>
      <c r="AJ68" s="17"/>
      <c r="AK68" s="168"/>
      <c r="AL68" s="185">
        <f t="shared" si="77"/>
        <v>0</v>
      </c>
      <c r="AM68" s="171">
        <f t="shared" si="79"/>
        <v>17935.57</v>
      </c>
      <c r="AN68" s="168" t="str">
        <f t="shared" si="78"/>
        <v/>
      </c>
      <c r="AO68" s="17"/>
      <c r="AP68" s="17"/>
      <c r="AQ68" s="168"/>
      <c r="AR68" s="17"/>
      <c r="AS68" s="173">
        <f>AS63</f>
        <v>30259.46</v>
      </c>
      <c r="AT68" s="173">
        <v>2597.73</v>
      </c>
      <c r="AU68" s="17"/>
      <c r="AV68" s="173">
        <f t="shared" ref="AV68:AV70" si="81">AV63</f>
        <v>29629.58</v>
      </c>
      <c r="AW68" s="17"/>
      <c r="AX68" s="17"/>
      <c r="AY68" s="17"/>
      <c r="AZ68" s="176"/>
      <c r="BA68" s="177"/>
      <c r="BB68" s="17"/>
      <c r="BC68" s="17"/>
      <c r="BD68" s="17"/>
      <c r="BE68" s="17"/>
      <c r="BF68" s="173">
        <f t="shared" si="80"/>
        <v>17935.57</v>
      </c>
      <c r="BG68" s="17"/>
      <c r="BH68" s="17"/>
      <c r="BI68" s="17"/>
      <c r="BJ68" s="17"/>
      <c r="BK68" s="17"/>
      <c r="BL68" s="179" t="s">
        <v>98</v>
      </c>
      <c r="BM68" s="181"/>
      <c r="BN68" s="2"/>
      <c r="BO68" s="2"/>
      <c r="BP68" s="133"/>
      <c r="BQ68" s="133"/>
      <c r="BR68" s="133"/>
    </row>
    <row r="69">
      <c r="A69" s="179" t="s">
        <v>235</v>
      </c>
      <c r="B69" s="188" t="s">
        <v>225</v>
      </c>
      <c r="C69" s="234"/>
      <c r="D69" s="315" t="s">
        <v>226</v>
      </c>
      <c r="E69" s="316" t="s">
        <v>227</v>
      </c>
      <c r="F69" s="317" t="s">
        <v>109</v>
      </c>
      <c r="G69" s="318">
        <v>0.1</v>
      </c>
      <c r="H69" s="318">
        <v>0.0</v>
      </c>
      <c r="I69" s="318">
        <v>0.0</v>
      </c>
      <c r="J69" s="318">
        <v>0.0</v>
      </c>
      <c r="K69" s="319">
        <v>0.0</v>
      </c>
      <c r="M69" s="3"/>
      <c r="N69" s="160"/>
      <c r="O69" s="321">
        <f t="shared" si="67"/>
        <v>0</v>
      </c>
      <c r="P69" s="322">
        <f t="shared" si="48"/>
        <v>0</v>
      </c>
      <c r="Q69" s="323">
        <f t="shared" si="49"/>
        <v>0</v>
      </c>
      <c r="R69" s="322">
        <f t="shared" si="65"/>
        <v>0</v>
      </c>
      <c r="S69" s="322">
        <f t="shared" si="51"/>
        <v>0</v>
      </c>
      <c r="T69" s="322">
        <f t="shared" si="52"/>
        <v>0</v>
      </c>
      <c r="U69" s="322">
        <f t="shared" si="53"/>
        <v>0</v>
      </c>
      <c r="V69" s="322">
        <v>0.0</v>
      </c>
      <c r="X69" s="165">
        <f t="shared" si="56"/>
        <v>49018.96</v>
      </c>
      <c r="Y69" s="165">
        <f t="shared" si="57"/>
        <v>38936.36</v>
      </c>
      <c r="Z69" s="165">
        <f t="shared" si="58"/>
        <v>39975.6</v>
      </c>
      <c r="AA69" s="165">
        <f t="shared" si="59"/>
        <v>0</v>
      </c>
      <c r="AB69" s="165">
        <f t="shared" si="60"/>
        <v>0</v>
      </c>
      <c r="AC69" s="323">
        <f t="shared" si="61"/>
        <v>127930.92</v>
      </c>
      <c r="AD69" s="167"/>
      <c r="AE69" s="17"/>
      <c r="AF69" s="168"/>
      <c r="AG69" s="167"/>
      <c r="AH69" s="168"/>
      <c r="AI69" s="167"/>
      <c r="AJ69" s="17"/>
      <c r="AK69" s="168"/>
      <c r="AL69" s="185">
        <f t="shared" si="77"/>
        <v>0</v>
      </c>
      <c r="AM69" s="171">
        <f t="shared" si="79"/>
        <v>39745.54</v>
      </c>
      <c r="AN69" s="168" t="str">
        <f t="shared" si="78"/>
        <v/>
      </c>
      <c r="AO69" s="17"/>
      <c r="AP69" s="17"/>
      <c r="AQ69" s="168"/>
      <c r="AR69" s="17"/>
      <c r="AS69" s="173">
        <v>49018.96</v>
      </c>
      <c r="AT69" s="17"/>
      <c r="AU69" s="17"/>
      <c r="AV69" s="173">
        <f t="shared" si="81"/>
        <v>38936.36</v>
      </c>
      <c r="AW69" s="17"/>
      <c r="AX69" s="17"/>
      <c r="AY69" s="17"/>
      <c r="AZ69" s="176"/>
      <c r="BA69" s="177"/>
      <c r="BB69" s="17"/>
      <c r="BC69" s="17"/>
      <c r="BD69" s="17"/>
      <c r="BE69" s="17"/>
      <c r="BF69" s="173">
        <f t="shared" si="80"/>
        <v>39745.54</v>
      </c>
      <c r="BG69" s="17"/>
      <c r="BH69" s="173">
        <f>BH64</f>
        <v>230.06</v>
      </c>
      <c r="BI69" s="17"/>
      <c r="BJ69" s="17"/>
      <c r="BK69" s="17"/>
      <c r="BL69" s="179" t="s">
        <v>98</v>
      </c>
      <c r="BM69" s="181"/>
      <c r="BN69" s="2"/>
      <c r="BO69" s="2"/>
      <c r="BP69" s="133"/>
      <c r="BQ69" s="133"/>
      <c r="BR69" s="133"/>
    </row>
    <row r="70">
      <c r="A70" s="179" t="s">
        <v>236</v>
      </c>
      <c r="B70" s="188" t="s">
        <v>225</v>
      </c>
      <c r="C70" s="234"/>
      <c r="D70" s="315" t="s">
        <v>226</v>
      </c>
      <c r="E70" s="316" t="s">
        <v>227</v>
      </c>
      <c r="F70" s="317" t="s">
        <v>109</v>
      </c>
      <c r="G70" s="318">
        <v>0.1</v>
      </c>
      <c r="H70" s="318">
        <v>0.0</v>
      </c>
      <c r="I70" s="318">
        <v>0.0</v>
      </c>
      <c r="J70" s="318">
        <v>0.0</v>
      </c>
      <c r="K70" s="319">
        <v>0.0</v>
      </c>
      <c r="M70" s="3"/>
      <c r="N70" s="160"/>
      <c r="O70" s="321">
        <f t="shared" si="67"/>
        <v>0</v>
      </c>
      <c r="P70" s="322">
        <f t="shared" si="48"/>
        <v>0</v>
      </c>
      <c r="Q70" s="323">
        <f t="shared" si="49"/>
        <v>0</v>
      </c>
      <c r="R70" s="322">
        <f t="shared" si="65"/>
        <v>0</v>
      </c>
      <c r="S70" s="322">
        <f t="shared" si="51"/>
        <v>0</v>
      </c>
      <c r="T70" s="322">
        <f t="shared" si="52"/>
        <v>0</v>
      </c>
      <c r="U70" s="322">
        <f t="shared" si="53"/>
        <v>0</v>
      </c>
      <c r="V70" s="322">
        <v>0.0</v>
      </c>
      <c r="X70" s="165">
        <f t="shared" si="56"/>
        <v>48956.72</v>
      </c>
      <c r="Y70" s="165">
        <f t="shared" si="57"/>
        <v>0</v>
      </c>
      <c r="Z70" s="165">
        <f t="shared" si="58"/>
        <v>0</v>
      </c>
      <c r="AA70" s="165">
        <f t="shared" si="59"/>
        <v>0</v>
      </c>
      <c r="AB70" s="165">
        <f t="shared" si="60"/>
        <v>0</v>
      </c>
      <c r="AC70" s="323">
        <f t="shared" si="61"/>
        <v>48956.72</v>
      </c>
      <c r="AD70" s="167"/>
      <c r="AE70" s="17"/>
      <c r="AF70" s="168"/>
      <c r="AG70" s="167"/>
      <c r="AH70" s="168"/>
      <c r="AI70" s="167"/>
      <c r="AJ70" s="17"/>
      <c r="AK70" s="168"/>
      <c r="AL70" s="185">
        <f t="shared" si="77"/>
        <v>0</v>
      </c>
      <c r="AM70" s="171">
        <f t="shared" si="79"/>
        <v>0</v>
      </c>
      <c r="AN70" s="168" t="str">
        <f t="shared" si="78"/>
        <v/>
      </c>
      <c r="AO70" s="17"/>
      <c r="AP70" s="17"/>
      <c r="AQ70" s="168"/>
      <c r="AR70" s="17"/>
      <c r="AS70" s="173">
        <f t="shared" ref="AS70:AT70" si="82">AS65</f>
        <v>47578.38</v>
      </c>
      <c r="AT70" s="173">
        <f t="shared" si="82"/>
        <v>1378.34</v>
      </c>
      <c r="AU70" s="17"/>
      <c r="AV70" s="17" t="str">
        <f t="shared" si="81"/>
        <v/>
      </c>
      <c r="AW70" s="17"/>
      <c r="AX70" s="17"/>
      <c r="AY70" s="17"/>
      <c r="AZ70" s="176"/>
      <c r="BA70" s="17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9" t="s">
        <v>98</v>
      </c>
      <c r="BM70" s="181"/>
      <c r="BN70" s="2"/>
      <c r="BO70" s="2"/>
      <c r="BP70" s="133"/>
      <c r="BQ70" s="133"/>
      <c r="BR70" s="133"/>
    </row>
    <row r="71">
      <c r="A71" s="179" t="s">
        <v>237</v>
      </c>
      <c r="B71" s="188" t="s">
        <v>238</v>
      </c>
      <c r="C71" s="234"/>
      <c r="D71" s="239" t="s">
        <v>208</v>
      </c>
      <c r="E71" s="189" t="s">
        <v>196</v>
      </c>
      <c r="F71" s="156" t="s">
        <v>109</v>
      </c>
      <c r="G71" s="157">
        <v>0.08</v>
      </c>
      <c r="H71" s="157">
        <v>0.0</v>
      </c>
      <c r="I71" s="157">
        <v>0.0</v>
      </c>
      <c r="J71" s="157">
        <v>0.0</v>
      </c>
      <c r="K71" s="158">
        <v>0.0</v>
      </c>
      <c r="L71" s="159">
        <v>15000.0</v>
      </c>
      <c r="M71" s="3"/>
      <c r="N71" s="160"/>
      <c r="O71" s="185">
        <f t="shared" si="67"/>
        <v>28257.58</v>
      </c>
      <c r="P71" s="171">
        <f t="shared" si="48"/>
        <v>1978.0306</v>
      </c>
      <c r="Q71" s="186">
        <f t="shared" si="49"/>
        <v>30235.6106</v>
      </c>
      <c r="R71" s="171">
        <f t="shared" si="65"/>
        <v>0</v>
      </c>
      <c r="S71" s="171">
        <f t="shared" si="51"/>
        <v>0</v>
      </c>
      <c r="T71" s="171">
        <f t="shared" si="52"/>
        <v>0</v>
      </c>
      <c r="U71" s="171">
        <f t="shared" si="53"/>
        <v>0</v>
      </c>
      <c r="V71" s="171">
        <f t="shared" ref="V71:V74" si="83">SUM(AL71:AN71)</f>
        <v>8350</v>
      </c>
      <c r="W71" s="171">
        <f t="shared" ref="W71:W74" si="84">ifs((AC71*G71)&gt;L71,AC71*G71,AC71=0,"0",(AC71*G71)&lt;=L71,L71)</f>
        <v>19907.58</v>
      </c>
      <c r="X71" s="165">
        <f t="shared" si="56"/>
        <v>0</v>
      </c>
      <c r="Y71" s="165">
        <f t="shared" si="57"/>
        <v>240494.75</v>
      </c>
      <c r="Z71" s="165">
        <f t="shared" si="58"/>
        <v>0</v>
      </c>
      <c r="AA71" s="165">
        <f t="shared" si="59"/>
        <v>8350</v>
      </c>
      <c r="AB71" s="165">
        <f t="shared" si="60"/>
        <v>0</v>
      </c>
      <c r="AC71" s="186">
        <f t="shared" si="61"/>
        <v>248844.75</v>
      </c>
      <c r="AD71" s="167"/>
      <c r="AE71" s="17"/>
      <c r="AF71" s="168"/>
      <c r="AG71" s="167"/>
      <c r="AH71" s="168"/>
      <c r="AI71" s="167"/>
      <c r="AJ71" s="17"/>
      <c r="AK71" s="168"/>
      <c r="AL71" s="169">
        <f t="shared" si="77"/>
        <v>8350</v>
      </c>
      <c r="AM71" s="17"/>
      <c r="AN71" s="168" t="str">
        <f t="shared" si="78"/>
        <v/>
      </c>
      <c r="AO71" s="17"/>
      <c r="AP71" s="17"/>
      <c r="AQ71" s="168"/>
      <c r="AR71" s="17"/>
      <c r="AS71" s="17"/>
      <c r="AT71" s="17"/>
      <c r="AU71" s="17"/>
      <c r="AV71" s="173">
        <v>27138.34</v>
      </c>
      <c r="AW71" s="173">
        <v>97469.71</v>
      </c>
      <c r="AX71" s="173">
        <v>115886.7</v>
      </c>
      <c r="AY71" s="17"/>
      <c r="AZ71" s="176"/>
      <c r="BA71" s="311">
        <v>8350.0</v>
      </c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9" t="s">
        <v>98</v>
      </c>
      <c r="BM71" s="180" t="str">
        <f t="shared" ref="BM71:BM74" si="85">IFS(BL71="","",BM71&lt;&gt;"",BM71,1*1,NOW())</f>
        <v>#REF!</v>
      </c>
      <c r="BN71" s="2"/>
      <c r="BO71" s="2"/>
      <c r="BP71" s="133"/>
      <c r="BQ71" s="133"/>
      <c r="BR71" s="133"/>
    </row>
    <row r="72">
      <c r="A72" s="179" t="s">
        <v>239</v>
      </c>
      <c r="B72" s="188" t="s">
        <v>238</v>
      </c>
      <c r="C72" s="234"/>
      <c r="D72" s="239" t="s">
        <v>208</v>
      </c>
      <c r="E72" s="189" t="s">
        <v>196</v>
      </c>
      <c r="F72" s="156" t="s">
        <v>109</v>
      </c>
      <c r="G72" s="157">
        <v>0.0</v>
      </c>
      <c r="H72" s="157">
        <v>0.0</v>
      </c>
      <c r="I72" s="157">
        <v>0.0</v>
      </c>
      <c r="J72" s="157">
        <v>0.0</v>
      </c>
      <c r="K72" s="158">
        <v>0.0</v>
      </c>
      <c r="L72" s="159">
        <v>0.0</v>
      </c>
      <c r="M72" s="3"/>
      <c r="N72" s="160"/>
      <c r="O72" s="185">
        <f t="shared" si="67"/>
        <v>460000</v>
      </c>
      <c r="P72" s="171">
        <f t="shared" si="48"/>
        <v>32200</v>
      </c>
      <c r="Q72" s="186">
        <f t="shared" si="49"/>
        <v>492200</v>
      </c>
      <c r="R72" s="171">
        <f t="shared" si="65"/>
        <v>0</v>
      </c>
      <c r="S72" s="171">
        <f t="shared" si="51"/>
        <v>0</v>
      </c>
      <c r="T72" s="171">
        <f t="shared" si="52"/>
        <v>0</v>
      </c>
      <c r="U72" s="171">
        <f t="shared" si="53"/>
        <v>460000</v>
      </c>
      <c r="V72" s="171">
        <f t="shared" si="83"/>
        <v>0</v>
      </c>
      <c r="W72" s="171">
        <f t="shared" si="84"/>
        <v>0</v>
      </c>
      <c r="X72" s="165">
        <f t="shared" si="56"/>
        <v>417730.83</v>
      </c>
      <c r="Y72" s="165">
        <f t="shared" si="57"/>
        <v>0</v>
      </c>
      <c r="Z72" s="165">
        <f t="shared" si="58"/>
        <v>0</v>
      </c>
      <c r="AA72" s="165">
        <f t="shared" si="59"/>
        <v>0</v>
      </c>
      <c r="AB72" s="165">
        <f t="shared" si="60"/>
        <v>0</v>
      </c>
      <c r="AC72" s="186">
        <f t="shared" si="61"/>
        <v>417730.83</v>
      </c>
      <c r="AD72" s="167"/>
      <c r="AE72" s="17"/>
      <c r="AF72" s="168"/>
      <c r="AG72" s="167"/>
      <c r="AH72" s="168"/>
      <c r="AI72" s="167"/>
      <c r="AJ72" s="17"/>
      <c r="AK72" s="170">
        <v>460000.0</v>
      </c>
      <c r="AL72" s="17"/>
      <c r="AM72" s="17"/>
      <c r="AN72" s="168" t="str">
        <f t="shared" si="78"/>
        <v/>
      </c>
      <c r="AO72" s="17"/>
      <c r="AP72" s="17"/>
      <c r="AQ72" s="168"/>
      <c r="AR72" s="173">
        <v>31267.01</v>
      </c>
      <c r="AS72" s="173">
        <v>217016.32</v>
      </c>
      <c r="AT72" s="173">
        <v>8034.19</v>
      </c>
      <c r="AU72" s="173">
        <v>161413.31</v>
      </c>
      <c r="AV72" s="17"/>
      <c r="AW72" s="17"/>
      <c r="AX72" s="17"/>
      <c r="AY72" s="17"/>
      <c r="AZ72" s="176"/>
      <c r="BA72" s="17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9" t="s">
        <v>98</v>
      </c>
      <c r="BM72" s="180" t="str">
        <f t="shared" si="85"/>
        <v>#REF!</v>
      </c>
      <c r="BN72" s="2"/>
      <c r="BO72" s="2"/>
      <c r="BP72" s="133"/>
      <c r="BQ72" s="133"/>
      <c r="BR72" s="133"/>
    </row>
    <row r="73">
      <c r="A73" s="179" t="s">
        <v>240</v>
      </c>
      <c r="B73" s="188" t="s">
        <v>238</v>
      </c>
      <c r="C73" s="234"/>
      <c r="D73" s="239" t="s">
        <v>208</v>
      </c>
      <c r="E73" s="189" t="s">
        <v>196</v>
      </c>
      <c r="F73" s="156" t="s">
        <v>109</v>
      </c>
      <c r="G73" s="157">
        <v>0.08</v>
      </c>
      <c r="H73" s="157">
        <v>0.0</v>
      </c>
      <c r="I73" s="157">
        <v>0.0</v>
      </c>
      <c r="J73" s="157">
        <v>0.0</v>
      </c>
      <c r="K73" s="158">
        <v>0.0</v>
      </c>
      <c r="L73" s="159">
        <v>15000.0</v>
      </c>
      <c r="M73" s="3"/>
      <c r="N73" s="160"/>
      <c r="O73" s="185">
        <f t="shared" si="67"/>
        <v>33418.4664</v>
      </c>
      <c r="P73" s="171">
        <f t="shared" si="48"/>
        <v>2339.292648</v>
      </c>
      <c r="Q73" s="186">
        <f t="shared" si="49"/>
        <v>35757.75905</v>
      </c>
      <c r="R73" s="171">
        <f t="shared" si="65"/>
        <v>0</v>
      </c>
      <c r="S73" s="171">
        <f t="shared" si="51"/>
        <v>0</v>
      </c>
      <c r="T73" s="171">
        <f t="shared" si="52"/>
        <v>0</v>
      </c>
      <c r="U73" s="171">
        <v>0.0</v>
      </c>
      <c r="V73" s="171">
        <f t="shared" si="83"/>
        <v>0</v>
      </c>
      <c r="W73" s="171">
        <f t="shared" si="84"/>
        <v>33418.4664</v>
      </c>
      <c r="X73" s="165">
        <f t="shared" si="56"/>
        <v>417730.83</v>
      </c>
      <c r="Y73" s="165">
        <f t="shared" si="57"/>
        <v>0</v>
      </c>
      <c r="Z73" s="165">
        <f t="shared" si="58"/>
        <v>0</v>
      </c>
      <c r="AA73" s="165">
        <f t="shared" si="59"/>
        <v>0</v>
      </c>
      <c r="AB73" s="165">
        <f t="shared" si="60"/>
        <v>0</v>
      </c>
      <c r="AC73" s="186">
        <f t="shared" si="61"/>
        <v>417730.83</v>
      </c>
      <c r="AD73" s="167"/>
      <c r="AE73" s="17"/>
      <c r="AF73" s="168"/>
      <c r="AG73" s="167"/>
      <c r="AH73" s="168"/>
      <c r="AI73" s="167"/>
      <c r="AJ73" s="17"/>
      <c r="AK73" s="168"/>
      <c r="AL73" s="17"/>
      <c r="AM73" s="17"/>
      <c r="AN73" s="168" t="str">
        <f t="shared" si="78"/>
        <v/>
      </c>
      <c r="AO73" s="17"/>
      <c r="AP73" s="17"/>
      <c r="AQ73" s="168"/>
      <c r="AR73" s="173">
        <f t="shared" ref="AR73:AU73" si="86">AR72</f>
        <v>31267.01</v>
      </c>
      <c r="AS73" s="173">
        <f t="shared" si="86"/>
        <v>217016.32</v>
      </c>
      <c r="AT73" s="173">
        <f t="shared" si="86"/>
        <v>8034.19</v>
      </c>
      <c r="AU73" s="173">
        <f t="shared" si="86"/>
        <v>161413.31</v>
      </c>
      <c r="AV73" s="17"/>
      <c r="AW73" s="17"/>
      <c r="AX73" s="17"/>
      <c r="AY73" s="17"/>
      <c r="AZ73" s="176"/>
      <c r="BA73" s="17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9" t="s">
        <v>98</v>
      </c>
      <c r="BM73" s="180" t="str">
        <f t="shared" si="85"/>
        <v>#REF!</v>
      </c>
      <c r="BN73" s="2"/>
      <c r="BO73" s="2"/>
      <c r="BP73" s="133"/>
      <c r="BQ73" s="133"/>
      <c r="BR73" s="133"/>
    </row>
    <row r="74">
      <c r="A74" s="179" t="s">
        <v>241</v>
      </c>
      <c r="B74" s="152" t="s">
        <v>242</v>
      </c>
      <c r="C74" s="234"/>
      <c r="D74" s="239" t="s">
        <v>180</v>
      </c>
      <c r="E74" s="310"/>
      <c r="F74" s="156" t="s">
        <v>109</v>
      </c>
      <c r="G74" s="157">
        <v>0.13</v>
      </c>
      <c r="H74" s="157">
        <v>0.0</v>
      </c>
      <c r="I74" s="157">
        <v>0.0</v>
      </c>
      <c r="J74" s="157">
        <v>0.0</v>
      </c>
      <c r="K74" s="158">
        <v>0.0</v>
      </c>
      <c r="L74" s="159">
        <v>30000.0</v>
      </c>
      <c r="M74" s="3"/>
      <c r="N74" s="160"/>
      <c r="O74" s="185">
        <f t="shared" si="67"/>
        <v>30000</v>
      </c>
      <c r="P74" s="171">
        <f t="shared" si="48"/>
        <v>2100</v>
      </c>
      <c r="Q74" s="186">
        <f t="shared" si="49"/>
        <v>32100</v>
      </c>
      <c r="R74" s="171">
        <f t="shared" si="65"/>
        <v>0</v>
      </c>
      <c r="S74" s="171">
        <f t="shared" si="51"/>
        <v>0</v>
      </c>
      <c r="T74" s="171">
        <f t="shared" si="52"/>
        <v>0</v>
      </c>
      <c r="U74" s="171">
        <f>SUM(AI74:AK74)</f>
        <v>0</v>
      </c>
      <c r="V74" s="171">
        <f t="shared" si="83"/>
        <v>0</v>
      </c>
      <c r="W74" s="164">
        <f t="shared" si="84"/>
        <v>30000</v>
      </c>
      <c r="X74" s="165">
        <f t="shared" si="56"/>
        <v>52636.65</v>
      </c>
      <c r="Y74" s="165">
        <f t="shared" si="57"/>
        <v>16290.92</v>
      </c>
      <c r="Z74" s="165">
        <f t="shared" si="58"/>
        <v>0</v>
      </c>
      <c r="AA74" s="165">
        <f t="shared" si="59"/>
        <v>0</v>
      </c>
      <c r="AB74" s="165">
        <f t="shared" si="60"/>
        <v>0</v>
      </c>
      <c r="AC74" s="186">
        <f t="shared" si="61"/>
        <v>68927.57</v>
      </c>
      <c r="AD74" s="167"/>
      <c r="AE74" s="17"/>
      <c r="AF74" s="168"/>
      <c r="AG74" s="167"/>
      <c r="AH74" s="168"/>
      <c r="AI74" s="167"/>
      <c r="AJ74" s="17"/>
      <c r="AK74" s="168"/>
      <c r="AL74" s="185">
        <f>SUM(BA74:BD74)</f>
        <v>0</v>
      </c>
      <c r="AM74" s="17"/>
      <c r="AN74" s="168" t="str">
        <f t="shared" si="78"/>
        <v/>
      </c>
      <c r="AO74" s="17"/>
      <c r="AP74" s="17"/>
      <c r="AQ74" s="168"/>
      <c r="AR74" s="17"/>
      <c r="AS74" s="324">
        <v>35857.19</v>
      </c>
      <c r="AT74" s="225"/>
      <c r="AU74" s="324">
        <v>16779.46</v>
      </c>
      <c r="AV74" s="324">
        <f>3263.34+743.35</f>
        <v>4006.69</v>
      </c>
      <c r="AW74" s="324">
        <v>11374.64</v>
      </c>
      <c r="AX74" s="324">
        <v>909.59</v>
      </c>
      <c r="AY74" s="17"/>
      <c r="AZ74" s="176"/>
      <c r="BA74" s="17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9" t="s">
        <v>98</v>
      </c>
      <c r="BM74" s="180" t="str">
        <f t="shared" si="85"/>
        <v>#REF!</v>
      </c>
      <c r="BN74" s="2"/>
      <c r="BO74" s="2"/>
      <c r="BP74" s="133"/>
      <c r="BQ74" s="133"/>
      <c r="BR74" s="133"/>
    </row>
    <row r="75">
      <c r="A75" s="383" t="s">
        <v>243</v>
      </c>
      <c r="B75" s="279"/>
      <c r="C75" s="280"/>
      <c r="D75" s="286"/>
      <c r="E75" s="282"/>
      <c r="F75" s="283"/>
      <c r="G75" s="284"/>
      <c r="H75" s="284"/>
      <c r="I75" s="284"/>
      <c r="J75" s="284"/>
      <c r="K75" s="285"/>
      <c r="L75" s="284"/>
      <c r="M75" s="284"/>
      <c r="N75" s="325"/>
      <c r="O75" s="287">
        <f t="shared" ref="O75:AZ75" si="87">SUM(O38:O56)</f>
        <v>4454366.862</v>
      </c>
      <c r="P75" s="288">
        <f t="shared" si="87"/>
        <v>311805.6803</v>
      </c>
      <c r="Q75" s="289">
        <f t="shared" si="87"/>
        <v>4766172.542</v>
      </c>
      <c r="R75" s="288">
        <f t="shared" si="87"/>
        <v>0</v>
      </c>
      <c r="S75" s="288">
        <f t="shared" si="87"/>
        <v>0</v>
      </c>
      <c r="T75" s="288">
        <f t="shared" si="87"/>
        <v>0</v>
      </c>
      <c r="U75" s="288">
        <f t="shared" si="87"/>
        <v>0</v>
      </c>
      <c r="V75" s="288">
        <f t="shared" si="87"/>
        <v>3338775.66</v>
      </c>
      <c r="W75" s="288">
        <f t="shared" si="87"/>
        <v>1115591.202</v>
      </c>
      <c r="X75" s="288">
        <f t="shared" si="87"/>
        <v>4487136.5</v>
      </c>
      <c r="Y75" s="288">
        <f t="shared" si="87"/>
        <v>1314341.47</v>
      </c>
      <c r="Z75" s="288">
        <f t="shared" si="87"/>
        <v>1307959.66</v>
      </c>
      <c r="AA75" s="288">
        <f t="shared" si="87"/>
        <v>1847777.6</v>
      </c>
      <c r="AB75" s="288">
        <f t="shared" si="87"/>
        <v>813689.29</v>
      </c>
      <c r="AC75" s="289">
        <f t="shared" si="87"/>
        <v>10018876.6</v>
      </c>
      <c r="AD75" s="287">
        <f t="shared" si="87"/>
        <v>0</v>
      </c>
      <c r="AE75" s="288">
        <f t="shared" si="87"/>
        <v>0</v>
      </c>
      <c r="AF75" s="289">
        <f t="shared" si="87"/>
        <v>0</v>
      </c>
      <c r="AG75" s="287">
        <f t="shared" si="87"/>
        <v>0</v>
      </c>
      <c r="AH75" s="289">
        <f t="shared" si="87"/>
        <v>0</v>
      </c>
      <c r="AI75" s="288">
        <f t="shared" si="87"/>
        <v>0</v>
      </c>
      <c r="AJ75" s="288">
        <f t="shared" si="87"/>
        <v>0</v>
      </c>
      <c r="AK75" s="289">
        <f t="shared" si="87"/>
        <v>0</v>
      </c>
      <c r="AL75" s="287">
        <f t="shared" si="87"/>
        <v>1822171.29</v>
      </c>
      <c r="AM75" s="288">
        <f t="shared" si="87"/>
        <v>1166366.07</v>
      </c>
      <c r="AN75" s="289">
        <f t="shared" si="87"/>
        <v>350238.3</v>
      </c>
      <c r="AO75" s="287">
        <f t="shared" si="87"/>
        <v>0</v>
      </c>
      <c r="AP75" s="288">
        <f t="shared" si="87"/>
        <v>0</v>
      </c>
      <c r="AQ75" s="289">
        <f t="shared" si="87"/>
        <v>0</v>
      </c>
      <c r="AR75" s="287">
        <f t="shared" si="87"/>
        <v>203350.35</v>
      </c>
      <c r="AS75" s="288">
        <f t="shared" si="87"/>
        <v>3616963.88</v>
      </c>
      <c r="AT75" s="288">
        <f t="shared" si="87"/>
        <v>29359.86</v>
      </c>
      <c r="AU75" s="288">
        <f t="shared" si="87"/>
        <v>637462.41</v>
      </c>
      <c r="AV75" s="288">
        <f t="shared" si="87"/>
        <v>737355.49</v>
      </c>
      <c r="AW75" s="288">
        <f t="shared" si="87"/>
        <v>422227.16</v>
      </c>
      <c r="AX75" s="288">
        <f t="shared" si="87"/>
        <v>154758.82</v>
      </c>
      <c r="AY75" s="288">
        <f t="shared" si="87"/>
        <v>0</v>
      </c>
      <c r="AZ75" s="291">
        <f t="shared" si="87"/>
        <v>0</v>
      </c>
      <c r="BA75" s="292">
        <f t="shared" ref="BA75:BB75" si="88">SUM(BA38:BA60)</f>
        <v>452910.94</v>
      </c>
      <c r="BB75" s="288">
        <f t="shared" si="88"/>
        <v>938012.69</v>
      </c>
      <c r="BC75" s="288">
        <f t="shared" ref="BC75:BK75" si="89">SUM(BC38:BC56)</f>
        <v>0</v>
      </c>
      <c r="BD75" s="288">
        <f t="shared" si="89"/>
        <v>493974.64</v>
      </c>
      <c r="BE75" s="288">
        <f t="shared" si="89"/>
        <v>0</v>
      </c>
      <c r="BF75" s="288">
        <f t="shared" si="89"/>
        <v>1103193.68</v>
      </c>
      <c r="BG75" s="288">
        <f t="shared" si="89"/>
        <v>168715.31</v>
      </c>
      <c r="BH75" s="288">
        <f t="shared" si="89"/>
        <v>36050.67</v>
      </c>
      <c r="BI75" s="288">
        <f t="shared" si="89"/>
        <v>247972.08</v>
      </c>
      <c r="BJ75" s="288">
        <f t="shared" si="89"/>
        <v>0</v>
      </c>
      <c r="BK75" s="288">
        <f t="shared" si="89"/>
        <v>813689.29</v>
      </c>
      <c r="BL75" s="195"/>
      <c r="BM75" s="2"/>
      <c r="BN75" s="2"/>
      <c r="BO75" s="2"/>
      <c r="BP75" s="133"/>
      <c r="BQ75" s="133"/>
      <c r="BR75" s="133"/>
    </row>
    <row r="76">
      <c r="A76" s="377" t="s">
        <v>244</v>
      </c>
      <c r="B76" s="326"/>
      <c r="C76" s="135"/>
      <c r="D76" s="137"/>
      <c r="E76" s="138"/>
      <c r="F76" s="139"/>
      <c r="G76" s="140"/>
      <c r="H76" s="141"/>
      <c r="I76" s="141"/>
      <c r="J76" s="141"/>
      <c r="K76" s="142"/>
      <c r="L76" s="141"/>
      <c r="M76" s="141"/>
      <c r="N76" s="143"/>
      <c r="O76" s="144"/>
      <c r="P76" s="141"/>
      <c r="Q76" s="142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6"/>
      <c r="AD76" s="143"/>
      <c r="AE76" s="145"/>
      <c r="AF76" s="146"/>
      <c r="AG76" s="143"/>
      <c r="AH76" s="146"/>
      <c r="AI76" s="141"/>
      <c r="AJ76" s="141"/>
      <c r="AK76" s="142"/>
      <c r="AL76" s="143"/>
      <c r="AM76" s="145"/>
      <c r="AN76" s="146"/>
      <c r="AO76" s="145"/>
      <c r="AP76" s="147"/>
      <c r="AQ76" s="146"/>
      <c r="AR76" s="145"/>
      <c r="AS76" s="145"/>
      <c r="AT76" s="145"/>
      <c r="AU76" s="145"/>
      <c r="AV76" s="145"/>
      <c r="AW76" s="145"/>
      <c r="AX76" s="145"/>
      <c r="AY76" s="145"/>
      <c r="AZ76" s="148"/>
      <c r="BA76" s="149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95"/>
      <c r="BM76" s="2"/>
      <c r="BN76" s="2"/>
      <c r="BO76" s="133"/>
      <c r="BP76" s="133"/>
      <c r="BQ76" s="2"/>
      <c r="BR76" s="34"/>
    </row>
    <row r="77">
      <c r="A77" s="179" t="s">
        <v>245</v>
      </c>
      <c r="B77" s="229" t="s">
        <v>179</v>
      </c>
      <c r="C77" s="328"/>
      <c r="D77" s="219" t="s">
        <v>246</v>
      </c>
      <c r="E77" s="219" t="s">
        <v>177</v>
      </c>
      <c r="F77" s="239" t="s">
        <v>115</v>
      </c>
      <c r="G77" s="297">
        <v>0.12</v>
      </c>
      <c r="H77" s="220">
        <v>0.0</v>
      </c>
      <c r="I77" s="220">
        <v>0.0</v>
      </c>
      <c r="J77" s="220">
        <v>0.0</v>
      </c>
      <c r="K77" s="270">
        <v>0.0</v>
      </c>
      <c r="L77" s="221">
        <v>0.0</v>
      </c>
      <c r="M77" s="3"/>
      <c r="N77" s="160"/>
      <c r="O77" s="185">
        <f>sum(S77:W77)</f>
        <v>5502.48</v>
      </c>
      <c r="P77" s="171">
        <f>O77*7%</f>
        <v>385.1736</v>
      </c>
      <c r="Q77" s="186">
        <f>O77+P77</f>
        <v>5887.6536</v>
      </c>
      <c r="R77" s="171">
        <f>SUM(AD77:AF77)*M77</f>
        <v>0</v>
      </c>
      <c r="S77" s="171">
        <f>SUM(AD77:AF77)</f>
        <v>0</v>
      </c>
      <c r="T77" s="171">
        <f>SUM(AG77:AH77)</f>
        <v>0</v>
      </c>
      <c r="U77" s="171">
        <f>SUM(AI77:AK77)</f>
        <v>0</v>
      </c>
      <c r="V77" s="171">
        <f>SUM(AL77:AN77)</f>
        <v>5502.48</v>
      </c>
      <c r="W77" s="171">
        <v>0.0</v>
      </c>
      <c r="X77" s="165">
        <f>SUM(AR77:AU77)</f>
        <v>0</v>
      </c>
      <c r="Y77" s="165">
        <f>SUM(AV77:AZ77)</f>
        <v>0</v>
      </c>
      <c r="Z77" s="165">
        <f>SUM(BF77:BH77)</f>
        <v>5502.48</v>
      </c>
      <c r="AA77" s="165">
        <f>sum(BA77:BD77)</f>
        <v>0</v>
      </c>
      <c r="AB77" s="165">
        <f>sum(BK77)</f>
        <v>0</v>
      </c>
      <c r="AC77" s="186">
        <f>sum(AO77:BK77)</f>
        <v>5502.48</v>
      </c>
      <c r="AD77" s="167"/>
      <c r="AE77" s="17"/>
      <c r="AF77" s="168"/>
      <c r="AG77" s="167"/>
      <c r="AH77" s="168"/>
      <c r="AI77" s="17"/>
      <c r="AJ77" s="17"/>
      <c r="AK77" s="168"/>
      <c r="AL77" s="17"/>
      <c r="AM77" s="171">
        <f>SUM(BF77:BG77)</f>
        <v>5502.48</v>
      </c>
      <c r="AN77" s="168"/>
      <c r="AO77" s="17"/>
      <c r="AP77" s="277"/>
      <c r="AQ77" s="168"/>
      <c r="AR77" s="17"/>
      <c r="AS77" s="17"/>
      <c r="AT77" s="17"/>
      <c r="AU77" s="17"/>
      <c r="AV77" s="17"/>
      <c r="AW77" s="17"/>
      <c r="AX77" s="17"/>
      <c r="AY77" s="17"/>
      <c r="AZ77" s="176"/>
      <c r="BA77" s="17"/>
      <c r="BB77" s="17"/>
      <c r="BC77" s="17"/>
      <c r="BD77" s="17"/>
      <c r="BE77" s="17"/>
      <c r="BF77" s="173">
        <v>5502.48</v>
      </c>
      <c r="BG77" s="133"/>
      <c r="BH77" s="133"/>
      <c r="BI77" s="17"/>
      <c r="BJ77" s="17"/>
      <c r="BK77" s="168"/>
      <c r="BL77" s="188" t="s">
        <v>98</v>
      </c>
      <c r="BM77" s="180" t="str">
        <f>IFS(BL77="","",BM77&lt;&gt;"",BM77,1*1,NOW())</f>
        <v>#REF!</v>
      </c>
      <c r="BN77" s="133"/>
      <c r="BO77" s="133"/>
      <c r="BP77" s="2"/>
      <c r="BQ77" s="2"/>
      <c r="BR77" s="34"/>
    </row>
    <row r="78">
      <c r="A78" s="179" t="s">
        <v>40</v>
      </c>
      <c r="B78" s="133"/>
      <c r="C78" s="328"/>
      <c r="D78" s="2"/>
      <c r="E78" s="237"/>
      <c r="F78" s="2"/>
      <c r="G78" s="3"/>
      <c r="H78" s="3"/>
      <c r="I78" s="3"/>
      <c r="J78" s="3"/>
      <c r="K78" s="329"/>
      <c r="L78" s="3"/>
      <c r="M78" s="3"/>
      <c r="N78" s="160"/>
      <c r="O78" s="160"/>
      <c r="P78" s="133"/>
      <c r="Q78" s="172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72"/>
      <c r="AD78" s="167"/>
      <c r="AE78" s="17"/>
      <c r="AF78" s="168"/>
      <c r="AG78" s="167"/>
      <c r="AH78" s="168"/>
      <c r="AI78" s="17"/>
      <c r="AJ78" s="17"/>
      <c r="AK78" s="168"/>
      <c r="AL78" s="330" t="s">
        <v>247</v>
      </c>
      <c r="AM78" s="17"/>
      <c r="AN78" s="168"/>
      <c r="AO78" s="17"/>
      <c r="AP78" s="17"/>
      <c r="AQ78" s="168"/>
      <c r="AR78" s="17"/>
      <c r="AS78" s="17"/>
      <c r="AT78" s="17"/>
      <c r="AU78" s="17"/>
      <c r="AV78" s="17"/>
      <c r="AW78" s="17"/>
      <c r="AX78" s="17"/>
      <c r="AY78" s="17"/>
      <c r="AZ78" s="176"/>
      <c r="BA78" s="17"/>
      <c r="BB78" s="17"/>
      <c r="BC78" s="17"/>
      <c r="BD78" s="17"/>
      <c r="BE78" s="17"/>
      <c r="BF78" s="17"/>
      <c r="BG78" s="17"/>
      <c r="BH78" s="17"/>
      <c r="BI78" s="17"/>
      <c r="BJ78" s="133"/>
      <c r="BK78" s="168"/>
      <c r="BL78" s="2"/>
      <c r="BM78" s="2"/>
      <c r="BN78" s="2"/>
      <c r="BO78" s="2"/>
      <c r="BP78" s="2"/>
      <c r="BQ78" s="2"/>
      <c r="BR78" s="34"/>
    </row>
    <row r="79">
      <c r="A79" s="383" t="s">
        <v>248</v>
      </c>
      <c r="B79" s="290"/>
      <c r="C79" s="280"/>
      <c r="D79" s="286"/>
      <c r="E79" s="282"/>
      <c r="F79" s="283"/>
      <c r="G79" s="284"/>
      <c r="H79" s="284"/>
      <c r="I79" s="284"/>
      <c r="J79" s="284"/>
      <c r="K79" s="285"/>
      <c r="L79" s="284"/>
      <c r="M79" s="284"/>
      <c r="N79" s="325"/>
      <c r="O79" s="287">
        <f>sum(O77)</f>
        <v>5502.48</v>
      </c>
      <c r="P79" s="288">
        <f t="shared" ref="P79:AC79" si="90">sum(P76:P77)</f>
        <v>385.1736</v>
      </c>
      <c r="Q79" s="288">
        <f t="shared" si="90"/>
        <v>5887.6536</v>
      </c>
      <c r="R79" s="287">
        <f t="shared" si="90"/>
        <v>0</v>
      </c>
      <c r="S79" s="288">
        <f t="shared" si="90"/>
        <v>0</v>
      </c>
      <c r="T79" s="288">
        <f t="shared" si="90"/>
        <v>0</v>
      </c>
      <c r="U79" s="288">
        <f t="shared" si="90"/>
        <v>0</v>
      </c>
      <c r="V79" s="288">
        <f t="shared" si="90"/>
        <v>5502.48</v>
      </c>
      <c r="W79" s="288">
        <f t="shared" si="90"/>
        <v>0</v>
      </c>
      <c r="X79" s="288">
        <f t="shared" si="90"/>
        <v>0</v>
      </c>
      <c r="Y79" s="288">
        <f t="shared" si="90"/>
        <v>0</v>
      </c>
      <c r="Z79" s="288">
        <f t="shared" si="90"/>
        <v>5502.48</v>
      </c>
      <c r="AA79" s="288">
        <f t="shared" si="90"/>
        <v>0</v>
      </c>
      <c r="AB79" s="288">
        <f t="shared" si="90"/>
        <v>0</v>
      </c>
      <c r="AC79" s="289">
        <f t="shared" si="90"/>
        <v>5502.48</v>
      </c>
      <c r="AD79" s="287">
        <f>sum(AD77)</f>
        <v>0</v>
      </c>
      <c r="AE79" s="288">
        <f t="shared" ref="AE79:AK79" si="91">sum(AE76:AE77)</f>
        <v>0</v>
      </c>
      <c r="AF79" s="289">
        <f t="shared" si="91"/>
        <v>0</v>
      </c>
      <c r="AG79" s="287">
        <f t="shared" si="91"/>
        <v>0</v>
      </c>
      <c r="AH79" s="289">
        <f t="shared" si="91"/>
        <v>0</v>
      </c>
      <c r="AI79" s="288">
        <f t="shared" si="91"/>
        <v>0</v>
      </c>
      <c r="AJ79" s="288">
        <f t="shared" si="91"/>
        <v>0</v>
      </c>
      <c r="AK79" s="289">
        <f t="shared" si="91"/>
        <v>0</v>
      </c>
      <c r="AL79" s="287">
        <f>sum(AL77)</f>
        <v>0</v>
      </c>
      <c r="AM79" s="331">
        <f t="shared" ref="AM79:AN79" si="92">sum(AM76:AM77)</f>
        <v>5502.48</v>
      </c>
      <c r="AN79" s="289">
        <f t="shared" si="92"/>
        <v>0</v>
      </c>
      <c r="AO79" s="287">
        <f>sum(AO77)</f>
        <v>0</v>
      </c>
      <c r="AP79" s="288">
        <f t="shared" ref="AP79:AQ79" si="93">sum(AP76:AP77)</f>
        <v>0</v>
      </c>
      <c r="AQ79" s="289">
        <f t="shared" si="93"/>
        <v>0</v>
      </c>
      <c r="AR79" s="287">
        <f>sum(AR77)</f>
        <v>0</v>
      </c>
      <c r="AS79" s="288">
        <f t="shared" ref="AS79:BK79" si="94">sum(AS76:AS77)</f>
        <v>0</v>
      </c>
      <c r="AT79" s="288">
        <f t="shared" si="94"/>
        <v>0</v>
      </c>
      <c r="AU79" s="288">
        <f t="shared" si="94"/>
        <v>0</v>
      </c>
      <c r="AV79" s="288">
        <f t="shared" si="94"/>
        <v>0</v>
      </c>
      <c r="AW79" s="288">
        <f t="shared" si="94"/>
        <v>0</v>
      </c>
      <c r="AX79" s="288">
        <f t="shared" si="94"/>
        <v>0</v>
      </c>
      <c r="AY79" s="288">
        <f t="shared" si="94"/>
        <v>0</v>
      </c>
      <c r="AZ79" s="291">
        <f t="shared" si="94"/>
        <v>0</v>
      </c>
      <c r="BA79" s="288">
        <f t="shared" si="94"/>
        <v>0</v>
      </c>
      <c r="BB79" s="288">
        <f t="shared" si="94"/>
        <v>0</v>
      </c>
      <c r="BC79" s="288">
        <f t="shared" si="94"/>
        <v>0</v>
      </c>
      <c r="BD79" s="288">
        <f t="shared" si="94"/>
        <v>0</v>
      </c>
      <c r="BE79" s="288">
        <f t="shared" si="94"/>
        <v>0</v>
      </c>
      <c r="BF79" s="288">
        <f t="shared" si="94"/>
        <v>5502.48</v>
      </c>
      <c r="BG79" s="288">
        <f t="shared" si="94"/>
        <v>0</v>
      </c>
      <c r="BH79" s="288">
        <f t="shared" si="94"/>
        <v>0</v>
      </c>
      <c r="BI79" s="288">
        <f t="shared" si="94"/>
        <v>0</v>
      </c>
      <c r="BJ79" s="288">
        <f t="shared" si="94"/>
        <v>0</v>
      </c>
      <c r="BK79" s="289">
        <f t="shared" si="94"/>
        <v>0</v>
      </c>
      <c r="BL79" s="2"/>
      <c r="BM79" s="2"/>
      <c r="BN79" s="2"/>
      <c r="BO79" s="2"/>
      <c r="BP79" s="2"/>
      <c r="BQ79" s="2"/>
      <c r="BR79" s="34"/>
    </row>
    <row r="80">
      <c r="A80" s="385" t="s">
        <v>249</v>
      </c>
      <c r="B80" s="333"/>
      <c r="C80" s="334"/>
      <c r="D80" s="335"/>
      <c r="E80" s="333"/>
      <c r="F80" s="336"/>
      <c r="G80" s="337"/>
      <c r="H80" s="337"/>
      <c r="I80" s="337"/>
      <c r="J80" s="337"/>
      <c r="K80" s="338"/>
      <c r="L80" s="337"/>
      <c r="M80" s="337"/>
      <c r="N80" s="339"/>
      <c r="O80" s="340">
        <f t="shared" ref="O80:P80" si="95">O33+O36+O75+O79</f>
        <v>19462564.1</v>
      </c>
      <c r="P80" s="341">
        <f t="shared" si="95"/>
        <v>1362379.487</v>
      </c>
      <c r="Q80" s="342">
        <f>Q33+Q75+Q79</f>
        <v>20116579.32</v>
      </c>
      <c r="R80" s="340">
        <f t="shared" ref="R80:BG80" si="96">R33+R36+R75+R79</f>
        <v>34815.236</v>
      </c>
      <c r="S80" s="343">
        <f t="shared" si="96"/>
        <v>0</v>
      </c>
      <c r="T80" s="343">
        <f t="shared" si="96"/>
        <v>2080006.51</v>
      </c>
      <c r="U80" s="343">
        <f t="shared" si="96"/>
        <v>3659272.373</v>
      </c>
      <c r="V80" s="343">
        <f t="shared" si="96"/>
        <v>11349699.03</v>
      </c>
      <c r="W80" s="343">
        <f t="shared" si="96"/>
        <v>2648586.192</v>
      </c>
      <c r="X80" s="343">
        <f t="shared" si="96"/>
        <v>13927439.73</v>
      </c>
      <c r="Y80" s="343">
        <f t="shared" si="96"/>
        <v>3602969.88</v>
      </c>
      <c r="Z80" s="343">
        <f t="shared" si="96"/>
        <v>6119459.5</v>
      </c>
      <c r="AA80" s="343">
        <f t="shared" si="96"/>
        <v>2463517.11</v>
      </c>
      <c r="AB80" s="343">
        <f t="shared" si="96"/>
        <v>840477.06</v>
      </c>
      <c r="AC80" s="344">
        <f t="shared" si="96"/>
        <v>29455392.92</v>
      </c>
      <c r="AD80" s="340">
        <f t="shared" si="96"/>
        <v>0</v>
      </c>
      <c r="AE80" s="343">
        <f t="shared" si="96"/>
        <v>0</v>
      </c>
      <c r="AF80" s="344">
        <f t="shared" si="96"/>
        <v>0</v>
      </c>
      <c r="AG80" s="340">
        <f t="shared" si="96"/>
        <v>757530.09</v>
      </c>
      <c r="AH80" s="344">
        <f t="shared" si="96"/>
        <v>1322476.42</v>
      </c>
      <c r="AI80" s="341">
        <f t="shared" si="96"/>
        <v>138860</v>
      </c>
      <c r="AJ80" s="343">
        <f t="shared" si="96"/>
        <v>0</v>
      </c>
      <c r="AK80" s="344">
        <f t="shared" si="96"/>
        <v>3520412.373</v>
      </c>
      <c r="AL80" s="340">
        <f t="shared" si="96"/>
        <v>2400315.8</v>
      </c>
      <c r="AM80" s="345">
        <f t="shared" si="96"/>
        <v>5942746.97</v>
      </c>
      <c r="AN80" s="342">
        <f t="shared" si="96"/>
        <v>377026.07</v>
      </c>
      <c r="AO80" s="340">
        <f t="shared" si="96"/>
        <v>443588.3295</v>
      </c>
      <c r="AP80" s="343">
        <f t="shared" si="96"/>
        <v>2312062.59</v>
      </c>
      <c r="AQ80" s="344">
        <f t="shared" si="96"/>
        <v>73048.81</v>
      </c>
      <c r="AR80" s="340">
        <f t="shared" si="96"/>
        <v>480870.75</v>
      </c>
      <c r="AS80" s="343">
        <f t="shared" si="96"/>
        <v>10570084.27</v>
      </c>
      <c r="AT80" s="343">
        <f t="shared" si="96"/>
        <v>86497.88</v>
      </c>
      <c r="AU80" s="341">
        <f t="shared" si="96"/>
        <v>2789986.83</v>
      </c>
      <c r="AV80" s="343">
        <f t="shared" si="96"/>
        <v>1528819.21</v>
      </c>
      <c r="AW80" s="343">
        <f t="shared" si="96"/>
        <v>1400731.31</v>
      </c>
      <c r="AX80" s="343">
        <f t="shared" si="96"/>
        <v>673419.36</v>
      </c>
      <c r="AY80" s="343">
        <f t="shared" si="96"/>
        <v>0</v>
      </c>
      <c r="AZ80" s="346">
        <f t="shared" si="96"/>
        <v>0</v>
      </c>
      <c r="BA80" s="343">
        <f t="shared" si="96"/>
        <v>526943.96</v>
      </c>
      <c r="BB80" s="343">
        <f t="shared" si="96"/>
        <v>1414753.86</v>
      </c>
      <c r="BC80" s="343">
        <f t="shared" si="96"/>
        <v>0</v>
      </c>
      <c r="BD80" s="343">
        <f t="shared" si="96"/>
        <v>558939.96</v>
      </c>
      <c r="BE80" s="343">
        <f t="shared" si="96"/>
        <v>0</v>
      </c>
      <c r="BF80" s="343">
        <f t="shared" si="96"/>
        <v>5876616.62</v>
      </c>
      <c r="BG80" s="343">
        <f t="shared" si="96"/>
        <v>188811.46</v>
      </c>
      <c r="BH80" s="347"/>
      <c r="BI80" s="343">
        <f t="shared" ref="BI80:BK80" si="97">BI33+BI36+BI75+BI79</f>
        <v>2508660.71</v>
      </c>
      <c r="BJ80" s="343">
        <f t="shared" si="97"/>
        <v>0</v>
      </c>
      <c r="BK80" s="344">
        <f t="shared" si="97"/>
        <v>840477.06</v>
      </c>
      <c r="BL80" s="2"/>
      <c r="BM80" s="2"/>
      <c r="BN80" s="2"/>
      <c r="BO80" s="2"/>
      <c r="BP80" s="2"/>
      <c r="BQ80" s="133"/>
      <c r="BR80" s="133"/>
    </row>
    <row r="81">
      <c r="A81" s="386" t="s">
        <v>250</v>
      </c>
      <c r="B81" s="349"/>
      <c r="C81" s="350"/>
      <c r="D81" s="349"/>
      <c r="E81" s="349"/>
      <c r="F81" s="349"/>
      <c r="G81" s="351">
        <v>32.16</v>
      </c>
      <c r="H81" s="352"/>
      <c r="I81" s="352"/>
      <c r="J81" s="352"/>
      <c r="K81" s="353"/>
      <c r="L81" s="352"/>
      <c r="M81" s="352"/>
      <c r="N81" s="354"/>
      <c r="O81" s="355" t="str">
        <f t="shared" ref="O81:BG81" si="98">O80/$H$81</f>
        <v>#DIV/0!</v>
      </c>
      <c r="P81" s="355" t="str">
        <f t="shared" si="98"/>
        <v>#DIV/0!</v>
      </c>
      <c r="Q81" s="355" t="str">
        <f t="shared" si="98"/>
        <v>#DIV/0!</v>
      </c>
      <c r="R81" s="355" t="str">
        <f t="shared" si="98"/>
        <v>#DIV/0!</v>
      </c>
      <c r="S81" s="355" t="str">
        <f t="shared" si="98"/>
        <v>#DIV/0!</v>
      </c>
      <c r="T81" s="355" t="str">
        <f t="shared" si="98"/>
        <v>#DIV/0!</v>
      </c>
      <c r="U81" s="355" t="str">
        <f t="shared" si="98"/>
        <v>#DIV/0!</v>
      </c>
      <c r="V81" s="355" t="str">
        <f t="shared" si="98"/>
        <v>#DIV/0!</v>
      </c>
      <c r="W81" s="355" t="str">
        <f t="shared" si="98"/>
        <v>#DIV/0!</v>
      </c>
      <c r="X81" s="355" t="str">
        <f t="shared" si="98"/>
        <v>#DIV/0!</v>
      </c>
      <c r="Y81" s="355" t="str">
        <f t="shared" si="98"/>
        <v>#DIV/0!</v>
      </c>
      <c r="Z81" s="355" t="str">
        <f t="shared" si="98"/>
        <v>#DIV/0!</v>
      </c>
      <c r="AA81" s="355" t="str">
        <f t="shared" si="98"/>
        <v>#DIV/0!</v>
      </c>
      <c r="AB81" s="355" t="str">
        <f t="shared" si="98"/>
        <v>#DIV/0!</v>
      </c>
      <c r="AC81" s="356" t="str">
        <f t="shared" si="98"/>
        <v>#DIV/0!</v>
      </c>
      <c r="AD81" s="357" t="str">
        <f t="shared" si="98"/>
        <v>#DIV/0!</v>
      </c>
      <c r="AE81" s="355" t="str">
        <f t="shared" si="98"/>
        <v>#DIV/0!</v>
      </c>
      <c r="AF81" s="356" t="str">
        <f t="shared" si="98"/>
        <v>#DIV/0!</v>
      </c>
      <c r="AG81" s="357" t="str">
        <f t="shared" si="98"/>
        <v>#DIV/0!</v>
      </c>
      <c r="AH81" s="356" t="str">
        <f t="shared" si="98"/>
        <v>#DIV/0!</v>
      </c>
      <c r="AI81" s="355" t="str">
        <f t="shared" si="98"/>
        <v>#DIV/0!</v>
      </c>
      <c r="AJ81" s="355" t="str">
        <f t="shared" si="98"/>
        <v>#DIV/0!</v>
      </c>
      <c r="AK81" s="356" t="str">
        <f t="shared" si="98"/>
        <v>#DIV/0!</v>
      </c>
      <c r="AL81" s="355" t="str">
        <f t="shared" si="98"/>
        <v>#DIV/0!</v>
      </c>
      <c r="AM81" s="355" t="str">
        <f t="shared" si="98"/>
        <v>#DIV/0!</v>
      </c>
      <c r="AN81" s="356" t="str">
        <f t="shared" si="98"/>
        <v>#DIV/0!</v>
      </c>
      <c r="AO81" s="355" t="str">
        <f t="shared" si="98"/>
        <v>#DIV/0!</v>
      </c>
      <c r="AP81" s="355" t="str">
        <f t="shared" si="98"/>
        <v>#DIV/0!</v>
      </c>
      <c r="AQ81" s="356" t="str">
        <f t="shared" si="98"/>
        <v>#DIV/0!</v>
      </c>
      <c r="AR81" s="355" t="str">
        <f t="shared" si="98"/>
        <v>#DIV/0!</v>
      </c>
      <c r="AS81" s="355" t="str">
        <f t="shared" si="98"/>
        <v>#DIV/0!</v>
      </c>
      <c r="AT81" s="355" t="str">
        <f t="shared" si="98"/>
        <v>#DIV/0!</v>
      </c>
      <c r="AU81" s="355" t="str">
        <f t="shared" si="98"/>
        <v>#DIV/0!</v>
      </c>
      <c r="AV81" s="355" t="str">
        <f t="shared" si="98"/>
        <v>#DIV/0!</v>
      </c>
      <c r="AW81" s="355" t="str">
        <f t="shared" si="98"/>
        <v>#DIV/0!</v>
      </c>
      <c r="AX81" s="355" t="str">
        <f t="shared" si="98"/>
        <v>#DIV/0!</v>
      </c>
      <c r="AY81" s="355" t="str">
        <f t="shared" si="98"/>
        <v>#DIV/0!</v>
      </c>
      <c r="AZ81" s="358" t="str">
        <f t="shared" si="98"/>
        <v>#DIV/0!</v>
      </c>
      <c r="BA81" s="355" t="str">
        <f t="shared" si="98"/>
        <v>#DIV/0!</v>
      </c>
      <c r="BB81" s="355" t="str">
        <f t="shared" si="98"/>
        <v>#DIV/0!</v>
      </c>
      <c r="BC81" s="355" t="str">
        <f t="shared" si="98"/>
        <v>#DIV/0!</v>
      </c>
      <c r="BD81" s="355" t="str">
        <f t="shared" si="98"/>
        <v>#DIV/0!</v>
      </c>
      <c r="BE81" s="355" t="str">
        <f t="shared" si="98"/>
        <v>#DIV/0!</v>
      </c>
      <c r="BF81" s="355" t="str">
        <f t="shared" si="98"/>
        <v>#DIV/0!</v>
      </c>
      <c r="BG81" s="355" t="str">
        <f t="shared" si="98"/>
        <v>#DIV/0!</v>
      </c>
      <c r="BH81" s="354"/>
      <c r="BI81" s="355" t="str">
        <f t="shared" ref="BI81:BK81" si="99">BI80/$H$81</f>
        <v>#DIV/0!</v>
      </c>
      <c r="BJ81" s="355" t="str">
        <f t="shared" si="99"/>
        <v>#DIV/0!</v>
      </c>
      <c r="BK81" s="356" t="str">
        <f t="shared" si="99"/>
        <v>#DIV/0!</v>
      </c>
      <c r="BL81" s="2"/>
      <c r="BM81" s="2"/>
      <c r="BN81" s="2"/>
      <c r="BO81" s="2"/>
      <c r="BP81" s="2"/>
      <c r="BQ81" s="133"/>
      <c r="BR81" s="133"/>
    </row>
    <row r="82">
      <c r="A82" s="5"/>
      <c r="B82" s="2"/>
      <c r="C82" s="2"/>
      <c r="D82" s="2"/>
      <c r="E82" s="2"/>
      <c r="F82" s="2"/>
      <c r="G82" s="3"/>
      <c r="H82" s="34"/>
      <c r="I82" s="34"/>
      <c r="J82" s="34"/>
      <c r="K82" s="34"/>
      <c r="L82" s="34"/>
      <c r="M82" s="3"/>
      <c r="N82" s="6"/>
      <c r="O82" s="6"/>
      <c r="P82" s="4"/>
      <c r="Q82" s="6"/>
      <c r="R82" s="6"/>
      <c r="S82" s="6"/>
      <c r="T82" s="133"/>
      <c r="U82" s="133"/>
      <c r="V82" s="133"/>
      <c r="W82" s="133"/>
      <c r="X82" s="6"/>
      <c r="Y82" s="6"/>
      <c r="Z82" s="6"/>
      <c r="AA82" s="6"/>
      <c r="AB82" s="6"/>
      <c r="AC82" s="6"/>
      <c r="AD82" s="133"/>
      <c r="AE82" s="34"/>
      <c r="AF82" s="34"/>
      <c r="AG82" s="133"/>
      <c r="AH82" s="133"/>
      <c r="AI82" s="133"/>
      <c r="AJ82" s="133"/>
      <c r="AK82" s="133"/>
      <c r="AL82" s="133"/>
      <c r="AM82" s="133"/>
      <c r="AN82" s="133"/>
      <c r="AO82" s="34"/>
      <c r="AP82" s="34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33"/>
      <c r="BR82" s="133"/>
    </row>
    <row r="83">
      <c r="A83" s="387" t="s">
        <v>251</v>
      </c>
      <c r="B83" s="360"/>
      <c r="C83" s="360"/>
      <c r="D83" s="360"/>
      <c r="E83" s="361"/>
      <c r="F83" s="361"/>
      <c r="G83" s="362"/>
      <c r="H83" s="361"/>
      <c r="I83" s="361"/>
      <c r="J83" s="361"/>
      <c r="K83" s="361"/>
      <c r="L83" s="361"/>
      <c r="M83" s="361"/>
      <c r="N83" s="360"/>
      <c r="O83" s="360"/>
      <c r="P83" s="360"/>
      <c r="Q83" s="360"/>
      <c r="R83" s="360"/>
      <c r="S83" s="360"/>
      <c r="T83" s="361"/>
      <c r="U83" s="361"/>
      <c r="V83" s="361"/>
      <c r="W83" s="360"/>
      <c r="X83" s="361"/>
      <c r="Y83" s="361"/>
      <c r="Z83" s="361"/>
      <c r="AA83" s="361"/>
      <c r="AB83" s="361"/>
      <c r="AC83" s="361"/>
      <c r="AD83" s="361"/>
      <c r="AE83" s="363"/>
      <c r="AF83" s="363"/>
      <c r="AG83" s="361"/>
      <c r="AH83" s="361"/>
      <c r="AI83" s="361"/>
      <c r="AJ83" s="361"/>
      <c r="AK83" s="361"/>
      <c r="AL83" s="361"/>
      <c r="AM83" s="361"/>
      <c r="AN83" s="361"/>
      <c r="AO83" s="363"/>
      <c r="AP83" s="363"/>
      <c r="AQ83" s="363"/>
      <c r="AR83" s="363"/>
      <c r="AS83" s="363"/>
      <c r="AT83" s="362"/>
      <c r="AU83" s="361"/>
      <c r="AV83" s="361"/>
      <c r="AW83" s="361"/>
      <c r="AX83" s="360"/>
      <c r="AY83" s="360"/>
      <c r="AZ83" s="360"/>
      <c r="BA83" s="360"/>
      <c r="BB83" s="361"/>
      <c r="BC83" s="361"/>
      <c r="BD83" s="361"/>
      <c r="BE83" s="361"/>
      <c r="BF83" s="361"/>
      <c r="BG83" s="361"/>
      <c r="BH83" s="361"/>
      <c r="BI83" s="361"/>
      <c r="BJ83" s="361"/>
      <c r="BK83" s="361"/>
      <c r="BL83" s="361"/>
      <c r="BM83" s="361"/>
      <c r="BN83" s="361"/>
      <c r="BO83" s="361"/>
      <c r="BP83" s="361"/>
      <c r="BQ83" s="361"/>
      <c r="BR83" s="361"/>
    </row>
    <row r="84">
      <c r="A84" s="388" t="s">
        <v>252</v>
      </c>
      <c r="B84" s="2"/>
      <c r="C84" s="2"/>
      <c r="D84" s="2"/>
      <c r="E84" s="2"/>
      <c r="F84" s="2"/>
      <c r="G84" s="3"/>
      <c r="H84" s="34"/>
      <c r="I84" s="34"/>
      <c r="J84" s="34"/>
      <c r="K84" s="34"/>
      <c r="L84" s="34"/>
      <c r="M84" s="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>
      <c r="A85" s="389" t="s">
        <v>253</v>
      </c>
      <c r="B85" s="188" t="s">
        <v>254</v>
      </c>
      <c r="C85" s="239" t="s">
        <v>255</v>
      </c>
      <c r="D85" s="239" t="s">
        <v>101</v>
      </c>
      <c r="E85" s="366"/>
      <c r="F85" s="239" t="s">
        <v>256</v>
      </c>
      <c r="G85" s="313">
        <v>0.052</v>
      </c>
      <c r="H85" s="4"/>
      <c r="I85" s="4"/>
      <c r="J85" s="4"/>
      <c r="K85" s="4"/>
      <c r="L85" s="221">
        <v>1750.0</v>
      </c>
      <c r="M85" s="157">
        <v>0.0</v>
      </c>
      <c r="N85" s="367" t="s">
        <v>133</v>
      </c>
      <c r="O85" s="164">
        <f t="shared" ref="O85:O90" si="100">sum(S85:W85)</f>
        <v>0</v>
      </c>
      <c r="P85" s="164">
        <f t="shared" ref="P85:P90" si="101">O85*7%</f>
        <v>0</v>
      </c>
      <c r="Q85" s="164">
        <f t="shared" ref="Q85:Q90" si="102">O85+P85</f>
        <v>0</v>
      </c>
      <c r="R85" s="171">
        <f t="shared" ref="R85:R90" si="103">SUM(AD85:AF85)*M85</f>
        <v>0</v>
      </c>
      <c r="S85" s="171">
        <f t="shared" ref="S85:S90" si="104">SUM(AD85:AF85)</f>
        <v>0</v>
      </c>
      <c r="T85" s="171">
        <f t="shared" ref="T85:T90" si="105">SUM(AG85:AH85)</f>
        <v>0</v>
      </c>
      <c r="U85" s="171">
        <f t="shared" ref="U85:U90" si="106">SUM(AI85:AK85,BP85)</f>
        <v>0</v>
      </c>
      <c r="V85" s="171">
        <f t="shared" ref="V85:V90" si="107">SUM(AL85:AQ85,BP85)</f>
        <v>0</v>
      </c>
      <c r="W85" s="171" t="str">
        <f t="shared" ref="W85:W90" si="108">ifs((AC85*G85)&gt;L85,AC85*G85,AC85=0,"0",(AC85*G85)&lt;=L85,L85)</f>
        <v>0</v>
      </c>
      <c r="X85" s="133"/>
      <c r="Y85" s="133"/>
      <c r="Z85" s="133"/>
      <c r="AA85" s="133"/>
      <c r="AB85" s="133"/>
      <c r="AC85" s="171">
        <f t="shared" ref="AC85:AC90" si="109">SUM(AO85:AQ85,AR85:BK85,BN85:BO85,BQ85)</f>
        <v>0</v>
      </c>
      <c r="AD85" s="17"/>
      <c r="AE85" s="17"/>
      <c r="AF85" s="17"/>
      <c r="AG85" s="133"/>
      <c r="AH85" s="133"/>
      <c r="AI85" s="133"/>
      <c r="AJ85" s="133"/>
      <c r="AK85" s="133"/>
      <c r="AL85" s="133"/>
      <c r="AM85" s="17"/>
      <c r="AN85" s="17"/>
      <c r="AO85" s="133"/>
      <c r="AP85" s="17"/>
      <c r="AQ85" s="133"/>
      <c r="AR85" s="133"/>
      <c r="AS85" s="133"/>
      <c r="AT85" s="17"/>
      <c r="AU85" s="133"/>
      <c r="AV85" s="133"/>
      <c r="AW85" s="133"/>
      <c r="AX85" s="17"/>
      <c r="AY85" s="17"/>
      <c r="AZ85" s="17"/>
      <c r="BA85" s="133"/>
      <c r="BB85" s="133"/>
      <c r="BC85" s="17"/>
      <c r="BD85" s="17"/>
      <c r="BE85" s="17"/>
      <c r="BF85" s="17"/>
      <c r="BG85" s="17"/>
      <c r="BH85" s="17"/>
      <c r="BI85" s="17"/>
      <c r="BJ85" s="17"/>
      <c r="BK85" s="17"/>
      <c r="BL85" s="2"/>
      <c r="BM85" s="2"/>
      <c r="BN85" s="2"/>
      <c r="BO85" s="2"/>
      <c r="BP85" s="2"/>
      <c r="BQ85" s="2"/>
      <c r="BR85" s="2"/>
    </row>
    <row r="86">
      <c r="A86" s="389" t="s">
        <v>257</v>
      </c>
      <c r="B86" s="188" t="s">
        <v>254</v>
      </c>
      <c r="C86" s="239" t="s">
        <v>255</v>
      </c>
      <c r="D86" s="239" t="s">
        <v>101</v>
      </c>
      <c r="E86" s="366"/>
      <c r="F86" s="239" t="s">
        <v>256</v>
      </c>
      <c r="G86" s="313">
        <v>0.052</v>
      </c>
      <c r="H86" s="4"/>
      <c r="I86" s="4"/>
      <c r="J86" s="4"/>
      <c r="K86" s="4"/>
      <c r="L86" s="221">
        <v>2424.0</v>
      </c>
      <c r="M86" s="157">
        <v>0.0</v>
      </c>
      <c r="N86" s="367" t="s">
        <v>133</v>
      </c>
      <c r="O86" s="164">
        <f t="shared" si="100"/>
        <v>0</v>
      </c>
      <c r="P86" s="164">
        <f t="shared" si="101"/>
        <v>0</v>
      </c>
      <c r="Q86" s="164">
        <f t="shared" si="102"/>
        <v>0</v>
      </c>
      <c r="R86" s="171">
        <f t="shared" si="103"/>
        <v>0</v>
      </c>
      <c r="S86" s="171">
        <f t="shared" si="104"/>
        <v>0</v>
      </c>
      <c r="T86" s="171">
        <f t="shared" si="105"/>
        <v>0</v>
      </c>
      <c r="U86" s="171">
        <f t="shared" si="106"/>
        <v>0</v>
      </c>
      <c r="V86" s="171">
        <f t="shared" si="107"/>
        <v>0</v>
      </c>
      <c r="W86" s="171" t="str">
        <f t="shared" si="108"/>
        <v>0</v>
      </c>
      <c r="X86" s="133"/>
      <c r="Y86" s="133"/>
      <c r="Z86" s="133"/>
      <c r="AA86" s="133"/>
      <c r="AB86" s="133"/>
      <c r="AC86" s="171">
        <f t="shared" si="109"/>
        <v>0</v>
      </c>
      <c r="AD86" s="17"/>
      <c r="AE86" s="17"/>
      <c r="AF86" s="17"/>
      <c r="AG86" s="133"/>
      <c r="AH86" s="133"/>
      <c r="AI86" s="133"/>
      <c r="AJ86" s="133"/>
      <c r="AK86" s="133"/>
      <c r="AL86" s="133"/>
      <c r="AM86" s="17"/>
      <c r="AN86" s="17"/>
      <c r="AO86" s="133"/>
      <c r="AP86" s="17"/>
      <c r="AQ86" s="133"/>
      <c r="AR86" s="133"/>
      <c r="AS86" s="133"/>
      <c r="AT86" s="17"/>
      <c r="AU86" s="133"/>
      <c r="AV86" s="133"/>
      <c r="AW86" s="133"/>
      <c r="AX86" s="17"/>
      <c r="AY86" s="17"/>
      <c r="AZ86" s="17"/>
      <c r="BA86" s="133"/>
      <c r="BB86" s="133"/>
      <c r="BC86" s="17"/>
      <c r="BD86" s="17"/>
      <c r="BE86" s="17"/>
      <c r="BF86" s="17"/>
      <c r="BG86" s="17"/>
      <c r="BH86" s="17"/>
      <c r="BI86" s="17"/>
      <c r="BJ86" s="17"/>
      <c r="BK86" s="17"/>
      <c r="BL86" s="2"/>
      <c r="BM86" s="2"/>
      <c r="BN86" s="2"/>
      <c r="BO86" s="2"/>
      <c r="BP86" s="2"/>
      <c r="BQ86" s="2"/>
      <c r="BR86" s="2"/>
    </row>
    <row r="87">
      <c r="A87" s="389" t="s">
        <v>258</v>
      </c>
      <c r="B87" s="188" t="s">
        <v>254</v>
      </c>
      <c r="C87" s="239" t="s">
        <v>255</v>
      </c>
      <c r="D87" s="239" t="s">
        <v>101</v>
      </c>
      <c r="E87" s="366"/>
      <c r="F87" s="239" t="s">
        <v>256</v>
      </c>
      <c r="G87" s="313">
        <v>0.052</v>
      </c>
      <c r="H87" s="4"/>
      <c r="I87" s="4"/>
      <c r="J87" s="4"/>
      <c r="K87" s="4"/>
      <c r="L87" s="221">
        <v>2424.0</v>
      </c>
      <c r="M87" s="157">
        <v>0.0</v>
      </c>
      <c r="N87" s="367" t="s">
        <v>133</v>
      </c>
      <c r="O87" s="164">
        <f t="shared" si="100"/>
        <v>0</v>
      </c>
      <c r="P87" s="164">
        <f t="shared" si="101"/>
        <v>0</v>
      </c>
      <c r="Q87" s="164">
        <f t="shared" si="102"/>
        <v>0</v>
      </c>
      <c r="R87" s="171">
        <f t="shared" si="103"/>
        <v>0</v>
      </c>
      <c r="S87" s="171">
        <f t="shared" si="104"/>
        <v>0</v>
      </c>
      <c r="T87" s="171">
        <f t="shared" si="105"/>
        <v>0</v>
      </c>
      <c r="U87" s="171">
        <f t="shared" si="106"/>
        <v>0</v>
      </c>
      <c r="V87" s="171">
        <f t="shared" si="107"/>
        <v>0</v>
      </c>
      <c r="W87" s="171" t="str">
        <f t="shared" si="108"/>
        <v>0</v>
      </c>
      <c r="X87" s="133"/>
      <c r="Y87" s="133"/>
      <c r="Z87" s="133"/>
      <c r="AA87" s="133"/>
      <c r="AB87" s="133"/>
      <c r="AC87" s="171">
        <f t="shared" si="109"/>
        <v>0</v>
      </c>
      <c r="AD87" s="17"/>
      <c r="AE87" s="17"/>
      <c r="AF87" s="17"/>
      <c r="AG87" s="133"/>
      <c r="AH87" s="133"/>
      <c r="AI87" s="133"/>
      <c r="AJ87" s="133"/>
      <c r="AK87" s="133"/>
      <c r="AL87" s="133"/>
      <c r="AM87" s="17"/>
      <c r="AN87" s="17"/>
      <c r="AO87" s="133"/>
      <c r="AP87" s="17"/>
      <c r="AQ87" s="133"/>
      <c r="AR87" s="133"/>
      <c r="AS87" s="133"/>
      <c r="AT87" s="17"/>
      <c r="AU87" s="133"/>
      <c r="AV87" s="133"/>
      <c r="AW87" s="133"/>
      <c r="AX87" s="17"/>
      <c r="AY87" s="17"/>
      <c r="AZ87" s="17"/>
      <c r="BA87" s="133"/>
      <c r="BB87" s="133"/>
      <c r="BC87" s="17"/>
      <c r="BD87" s="17"/>
      <c r="BE87" s="17"/>
      <c r="BF87" s="17"/>
      <c r="BG87" s="17"/>
      <c r="BH87" s="17"/>
      <c r="BI87" s="17"/>
      <c r="BJ87" s="17"/>
      <c r="BK87" s="17"/>
      <c r="BL87" s="2"/>
      <c r="BM87" s="2"/>
      <c r="BN87" s="2"/>
      <c r="BO87" s="2"/>
      <c r="BP87" s="2"/>
      <c r="BQ87" s="2"/>
      <c r="BR87" s="2"/>
    </row>
    <row r="88">
      <c r="A88" s="365" t="s">
        <v>259</v>
      </c>
      <c r="B88" s="229" t="s">
        <v>254</v>
      </c>
      <c r="C88" s="368" t="s">
        <v>255</v>
      </c>
      <c r="D88" s="368" t="s">
        <v>101</v>
      </c>
      <c r="E88" s="369"/>
      <c r="F88" s="368" t="s">
        <v>256</v>
      </c>
      <c r="G88" s="313">
        <v>0.052</v>
      </c>
      <c r="H88" s="4"/>
      <c r="I88" s="4"/>
      <c r="J88" s="4"/>
      <c r="K88" s="4"/>
      <c r="L88" s="221">
        <v>3500.0</v>
      </c>
      <c r="M88" s="157">
        <v>0.0</v>
      </c>
      <c r="N88" s="367" t="s">
        <v>133</v>
      </c>
      <c r="O88" s="164">
        <f t="shared" si="100"/>
        <v>0</v>
      </c>
      <c r="P88" s="164">
        <f t="shared" si="101"/>
        <v>0</v>
      </c>
      <c r="Q88" s="164">
        <f t="shared" si="102"/>
        <v>0</v>
      </c>
      <c r="R88" s="171">
        <f t="shared" si="103"/>
        <v>0</v>
      </c>
      <c r="S88" s="171">
        <f t="shared" si="104"/>
        <v>0</v>
      </c>
      <c r="T88" s="171">
        <f t="shared" si="105"/>
        <v>0</v>
      </c>
      <c r="U88" s="171">
        <f t="shared" si="106"/>
        <v>0</v>
      </c>
      <c r="V88" s="171">
        <f t="shared" si="107"/>
        <v>0</v>
      </c>
      <c r="W88" s="171" t="str">
        <f t="shared" si="108"/>
        <v>0</v>
      </c>
      <c r="X88" s="133"/>
      <c r="Y88" s="133"/>
      <c r="Z88" s="133"/>
      <c r="AA88" s="133"/>
      <c r="AB88" s="133"/>
      <c r="AC88" s="171">
        <f t="shared" si="109"/>
        <v>0</v>
      </c>
      <c r="AD88" s="17"/>
      <c r="AE88" s="17"/>
      <c r="AF88" s="17"/>
      <c r="AG88" s="133"/>
      <c r="AH88" s="133"/>
      <c r="AI88" s="133"/>
      <c r="AJ88" s="133"/>
      <c r="AK88" s="133"/>
      <c r="AL88" s="133"/>
      <c r="AM88" s="17"/>
      <c r="AN88" s="17"/>
      <c r="AO88" s="133"/>
      <c r="AP88" s="17"/>
      <c r="AQ88" s="133"/>
      <c r="AR88" s="133"/>
      <c r="AS88" s="133"/>
      <c r="AT88" s="17"/>
      <c r="AU88" s="133"/>
      <c r="AV88" s="133"/>
      <c r="AW88" s="133"/>
      <c r="AX88" s="17"/>
      <c r="AY88" s="17"/>
      <c r="AZ88" s="17"/>
      <c r="BA88" s="133"/>
      <c r="BB88" s="133"/>
      <c r="BC88" s="17"/>
      <c r="BD88" s="17"/>
      <c r="BE88" s="17"/>
      <c r="BF88" s="17"/>
      <c r="BG88" s="17"/>
      <c r="BH88" s="17"/>
      <c r="BI88" s="17"/>
      <c r="BJ88" s="17"/>
      <c r="BK88" s="17"/>
      <c r="BL88" s="2"/>
      <c r="BM88" s="2"/>
      <c r="BN88" s="2"/>
      <c r="BO88" s="2"/>
      <c r="BP88" s="2"/>
      <c r="BQ88" s="34"/>
      <c r="BR88" s="34"/>
    </row>
    <row r="89">
      <c r="A89" s="389" t="s">
        <v>260</v>
      </c>
      <c r="B89" s="188" t="s">
        <v>254</v>
      </c>
      <c r="C89" s="239" t="s">
        <v>255</v>
      </c>
      <c r="D89" s="239" t="s">
        <v>101</v>
      </c>
      <c r="E89" s="366"/>
      <c r="F89" s="239" t="s">
        <v>256</v>
      </c>
      <c r="G89" s="313">
        <v>0.052</v>
      </c>
      <c r="H89" s="4"/>
      <c r="I89" s="4"/>
      <c r="J89" s="4"/>
      <c r="K89" s="4"/>
      <c r="M89" s="157">
        <v>0.0</v>
      </c>
      <c r="N89" s="367" t="s">
        <v>133</v>
      </c>
      <c r="O89" s="164">
        <f t="shared" si="100"/>
        <v>0</v>
      </c>
      <c r="P89" s="164">
        <f t="shared" si="101"/>
        <v>0</v>
      </c>
      <c r="Q89" s="164">
        <f t="shared" si="102"/>
        <v>0</v>
      </c>
      <c r="R89" s="171">
        <f t="shared" si="103"/>
        <v>0</v>
      </c>
      <c r="S89" s="171">
        <f t="shared" si="104"/>
        <v>0</v>
      </c>
      <c r="T89" s="171">
        <f t="shared" si="105"/>
        <v>0</v>
      </c>
      <c r="U89" s="171">
        <f t="shared" si="106"/>
        <v>0</v>
      </c>
      <c r="V89" s="171">
        <f t="shared" si="107"/>
        <v>0</v>
      </c>
      <c r="W89" s="171" t="str">
        <f t="shared" si="108"/>
        <v>0</v>
      </c>
      <c r="X89" s="133"/>
      <c r="Y89" s="133"/>
      <c r="Z89" s="133"/>
      <c r="AA89" s="133"/>
      <c r="AB89" s="133"/>
      <c r="AC89" s="171">
        <f t="shared" si="109"/>
        <v>0</v>
      </c>
      <c r="AD89" s="17"/>
      <c r="AE89" s="17"/>
      <c r="AF89" s="17"/>
      <c r="AG89" s="133"/>
      <c r="AH89" s="133"/>
      <c r="AI89" s="133"/>
      <c r="AJ89" s="133"/>
      <c r="AK89" s="133"/>
      <c r="AL89" s="133"/>
      <c r="AM89" s="17"/>
      <c r="AN89" s="17"/>
      <c r="AO89" s="133"/>
      <c r="AP89" s="17"/>
      <c r="AQ89" s="133"/>
      <c r="AR89" s="133"/>
      <c r="AS89" s="133"/>
      <c r="AT89" s="17"/>
      <c r="AU89" s="133"/>
      <c r="AV89" s="133"/>
      <c r="AW89" s="133"/>
      <c r="AX89" s="17"/>
      <c r="AY89" s="17"/>
      <c r="AZ89" s="17"/>
      <c r="BA89" s="133"/>
      <c r="BB89" s="133"/>
      <c r="BC89" s="17"/>
      <c r="BD89" s="17"/>
      <c r="BE89" s="17"/>
      <c r="BF89" s="17"/>
      <c r="BG89" s="17"/>
      <c r="BH89" s="17"/>
      <c r="BI89" s="17"/>
      <c r="BJ89" s="17"/>
      <c r="BK89" s="17"/>
      <c r="BL89" s="2"/>
      <c r="BM89" s="2"/>
      <c r="BN89" s="2"/>
      <c r="BO89" s="2"/>
      <c r="BP89" s="133"/>
      <c r="BQ89" s="133"/>
      <c r="BR89" s="133"/>
    </row>
    <row r="90">
      <c r="A90" s="389" t="s">
        <v>261</v>
      </c>
      <c r="B90" s="188" t="s">
        <v>254</v>
      </c>
      <c r="C90" s="239" t="s">
        <v>255</v>
      </c>
      <c r="D90" s="239" t="s">
        <v>101</v>
      </c>
      <c r="E90" s="366"/>
      <c r="F90" s="239" t="s">
        <v>256</v>
      </c>
      <c r="G90" s="313">
        <v>0.052</v>
      </c>
      <c r="H90" s="4"/>
      <c r="I90" s="4"/>
      <c r="J90" s="4"/>
      <c r="K90" s="4"/>
      <c r="M90" s="157">
        <v>0.0</v>
      </c>
      <c r="N90" s="367" t="s">
        <v>133</v>
      </c>
      <c r="O90" s="164">
        <f t="shared" si="100"/>
        <v>0</v>
      </c>
      <c r="P90" s="164">
        <f t="shared" si="101"/>
        <v>0</v>
      </c>
      <c r="Q90" s="164">
        <f t="shared" si="102"/>
        <v>0</v>
      </c>
      <c r="R90" s="171">
        <f t="shared" si="103"/>
        <v>0</v>
      </c>
      <c r="S90" s="171">
        <f t="shared" si="104"/>
        <v>0</v>
      </c>
      <c r="T90" s="171">
        <f t="shared" si="105"/>
        <v>0</v>
      </c>
      <c r="U90" s="171">
        <f t="shared" si="106"/>
        <v>0</v>
      </c>
      <c r="V90" s="171">
        <f t="shared" si="107"/>
        <v>0</v>
      </c>
      <c r="W90" s="171" t="str">
        <f t="shared" si="108"/>
        <v>0</v>
      </c>
      <c r="X90" s="133"/>
      <c r="Y90" s="133"/>
      <c r="Z90" s="133"/>
      <c r="AA90" s="133"/>
      <c r="AB90" s="133"/>
      <c r="AC90" s="171">
        <f t="shared" si="109"/>
        <v>0</v>
      </c>
      <c r="AD90" s="17"/>
      <c r="AE90" s="17"/>
      <c r="AF90" s="17"/>
      <c r="AG90" s="133"/>
      <c r="AH90" s="133"/>
      <c r="AI90" s="133"/>
      <c r="AJ90" s="133"/>
      <c r="AK90" s="133"/>
      <c r="AL90" s="133"/>
      <c r="AM90" s="17"/>
      <c r="AN90" s="17"/>
      <c r="AO90" s="133"/>
      <c r="AP90" s="17"/>
      <c r="AQ90" s="133"/>
      <c r="AR90" s="133"/>
      <c r="AS90" s="133"/>
      <c r="AT90" s="17"/>
      <c r="AU90" s="133"/>
      <c r="AV90" s="133"/>
      <c r="AW90" s="133"/>
      <c r="AX90" s="17"/>
      <c r="AY90" s="17"/>
      <c r="AZ90" s="17"/>
      <c r="BA90" s="133"/>
      <c r="BB90" s="133"/>
      <c r="BC90" s="17"/>
      <c r="BD90" s="17"/>
      <c r="BE90" s="17"/>
      <c r="BF90" s="17"/>
      <c r="BG90" s="17"/>
      <c r="BH90" s="17"/>
      <c r="BI90" s="17"/>
      <c r="BJ90" s="17"/>
      <c r="BK90" s="17"/>
      <c r="BL90" s="2"/>
      <c r="BM90" s="2"/>
      <c r="BN90" s="2"/>
      <c r="BO90" s="2"/>
      <c r="BP90" s="2"/>
      <c r="BQ90" s="2"/>
      <c r="BR90" s="2"/>
    </row>
    <row r="91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33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33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33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33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33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3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13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13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133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3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3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3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13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3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13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13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3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3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33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33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13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3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13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3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3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33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3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3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33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33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3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133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3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3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3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33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33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3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3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3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33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3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3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3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3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3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33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33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3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33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33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33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33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3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33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3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33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33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3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33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33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33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33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33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33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33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33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33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33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33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33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3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3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33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33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33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33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33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3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3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3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3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3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3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3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13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13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13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13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13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13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3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3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13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13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13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13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13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13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3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3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3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13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13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3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3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3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3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3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3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3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3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3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3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3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3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3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3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3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3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3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3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3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3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3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3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3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3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3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3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3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3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3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3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3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3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3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3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3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3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3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3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3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3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3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3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3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3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3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3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3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3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3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3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3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3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3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3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3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3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3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3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3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3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3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3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3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3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3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3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3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3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3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3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3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3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3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3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3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3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3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3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3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3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3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3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3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3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3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3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3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3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3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3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3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3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3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3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3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3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3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3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3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3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3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3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3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3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3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3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3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3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3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3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3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3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3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3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3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3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3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3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3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3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3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3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3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3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3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3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3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3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3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3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3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3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3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3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3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3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3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3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3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3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3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3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3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3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3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3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3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3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3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3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3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3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3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3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3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3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3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3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3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3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3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3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3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3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3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3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3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3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3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3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3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3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3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3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3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3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3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3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3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3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3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3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3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3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3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3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3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3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3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3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3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3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3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3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3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3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3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3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3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3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3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3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3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3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3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3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3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3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3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3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3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3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3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3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3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3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3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3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3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3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3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3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3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3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3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3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3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33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33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33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3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33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3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3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3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3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3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3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3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3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3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3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3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3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3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3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3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3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3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3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3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3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3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3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3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3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3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3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3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3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3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3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3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3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33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3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3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3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3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3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3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3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3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3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3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3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3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3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3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3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3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3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3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3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3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3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3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3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3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3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3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3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3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3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3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3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3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3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3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3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3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3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3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3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3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3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>
      <c r="A501" s="2"/>
      <c r="B501" s="2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33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>
      <c r="A502" s="2"/>
      <c r="B502" s="2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3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>
      <c r="A503" s="2"/>
      <c r="B503" s="2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3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>
      <c r="A504" s="2"/>
      <c r="B504" s="2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3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>
      <c r="A505" s="2"/>
      <c r="B505" s="2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3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>
      <c r="A506" s="2"/>
      <c r="B506" s="2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3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>
      <c r="A507" s="2"/>
      <c r="B507" s="2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3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>
      <c r="A508" s="2"/>
      <c r="B508" s="2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33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>
      <c r="A509" s="2"/>
      <c r="B509" s="2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3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>
      <c r="A510" s="2"/>
      <c r="B510" s="2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3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>
      <c r="A511" s="2"/>
      <c r="B511" s="2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3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>
      <c r="A512" s="2"/>
      <c r="B512" s="2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3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>
      <c r="A513" s="2"/>
      <c r="B513" s="2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3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>
      <c r="A514" s="2"/>
      <c r="B514" s="2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3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>
      <c r="A515" s="2"/>
      <c r="B515" s="2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3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>
      <c r="A516" s="2"/>
      <c r="B516" s="2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3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>
      <c r="A517" s="2"/>
      <c r="B517" s="2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3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>
      <c r="A518" s="2"/>
      <c r="B518" s="2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3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>
      <c r="A519" s="2"/>
      <c r="B519" s="2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3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>
      <c r="A520" s="2"/>
      <c r="B520" s="2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3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>
      <c r="A521" s="2"/>
      <c r="B521" s="2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3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>
      <c r="A522" s="2"/>
      <c r="B522" s="2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3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>
      <c r="A523" s="2"/>
      <c r="B523" s="2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3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>
      <c r="A524" s="2"/>
      <c r="B524" s="2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3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>
      <c r="A525" s="2"/>
      <c r="B525" s="2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3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>
      <c r="A526" s="2"/>
      <c r="B526" s="2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3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>
      <c r="A527" s="2"/>
      <c r="B527" s="2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3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>
      <c r="A528" s="2"/>
      <c r="B528" s="2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3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>
      <c r="A529" s="2"/>
      <c r="B529" s="2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3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>
      <c r="A530" s="2"/>
      <c r="B530" s="2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3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>
      <c r="A531" s="2"/>
      <c r="B531" s="2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3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>
      <c r="A532" s="2"/>
      <c r="B532" s="2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3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>
      <c r="A533" s="2"/>
      <c r="B533" s="2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3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>
      <c r="A534" s="2"/>
      <c r="B534" s="2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3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>
      <c r="A535" s="2"/>
      <c r="B535" s="2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3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>
      <c r="A536" s="2"/>
      <c r="B536" s="2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3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>
      <c r="A537" s="2"/>
      <c r="B537" s="2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3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>
      <c r="A538" s="2"/>
      <c r="B538" s="2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3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>
      <c r="A539" s="2"/>
      <c r="B539" s="2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3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>
      <c r="A540" s="2"/>
      <c r="B540" s="2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3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>
      <c r="A541" s="2"/>
      <c r="B541" s="2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3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>
      <c r="A542" s="2"/>
      <c r="B542" s="2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3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>
      <c r="A543" s="2"/>
      <c r="B543" s="2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3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>
      <c r="A544" s="2"/>
      <c r="B544" s="2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3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>
      <c r="A545" s="2"/>
      <c r="B545" s="2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3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>
      <c r="A546" s="2"/>
      <c r="B546" s="2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3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>
      <c r="A547" s="2"/>
      <c r="B547" s="2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3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>
      <c r="A548" s="2"/>
      <c r="B548" s="2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3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>
      <c r="A549" s="2"/>
      <c r="B549" s="2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3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>
      <c r="A550" s="2"/>
      <c r="B550" s="2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3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>
      <c r="A551" s="2"/>
      <c r="B551" s="2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3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>
      <c r="A552" s="2"/>
      <c r="B552" s="2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3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>
      <c r="A553" s="2"/>
      <c r="B553" s="2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3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>
      <c r="A554" s="2"/>
      <c r="B554" s="2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3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>
      <c r="A555" s="2"/>
      <c r="B555" s="2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3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>
      <c r="A556" s="2"/>
      <c r="B556" s="2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3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>
      <c r="A557" s="2"/>
      <c r="B557" s="2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3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>
      <c r="A558" s="2"/>
      <c r="B558" s="2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3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>
      <c r="A559" s="2"/>
      <c r="B559" s="2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3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>
      <c r="A560" s="2"/>
      <c r="B560" s="2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3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>
      <c r="A561" s="2"/>
      <c r="B561" s="2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3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>
      <c r="A562" s="2"/>
      <c r="B562" s="2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3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>
      <c r="A563" s="2"/>
      <c r="B563" s="2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3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>
      <c r="A564" s="2"/>
      <c r="B564" s="2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3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>
      <c r="A565" s="2"/>
      <c r="B565" s="2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3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>
      <c r="A566" s="2"/>
      <c r="B566" s="2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3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>
      <c r="A567" s="2"/>
      <c r="B567" s="2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3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>
      <c r="A568" s="2"/>
      <c r="B568" s="2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3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>
      <c r="A569" s="2"/>
      <c r="B569" s="2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3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>
      <c r="A570" s="2"/>
      <c r="B570" s="2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3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>
      <c r="A571" s="2"/>
      <c r="B571" s="2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3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>
      <c r="A572" s="2"/>
      <c r="B572" s="2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3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>
      <c r="A573" s="2"/>
      <c r="B573" s="2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3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>
      <c r="A574" s="2"/>
      <c r="B574" s="2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3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>
      <c r="A575" s="2"/>
      <c r="B575" s="2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3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>
      <c r="A576" s="2"/>
      <c r="B576" s="2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3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>
      <c r="A577" s="2"/>
      <c r="B577" s="2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3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>
      <c r="A578" s="2"/>
      <c r="B578" s="2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3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>
      <c r="A579" s="2"/>
      <c r="B579" s="2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3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>
      <c r="A580" s="2"/>
      <c r="B580" s="2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3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>
      <c r="A581" s="2"/>
      <c r="B581" s="2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3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>
      <c r="A582" s="2"/>
      <c r="B582" s="2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3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>
      <c r="A583" s="2"/>
      <c r="B583" s="2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3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>
      <c r="A584" s="2"/>
      <c r="B584" s="2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3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>
      <c r="A585" s="2"/>
      <c r="B585" s="2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3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>
      <c r="A586" s="2"/>
      <c r="B586" s="2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3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>
      <c r="A587" s="2"/>
      <c r="B587" s="2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3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>
      <c r="A588" s="2"/>
      <c r="B588" s="2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3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>
      <c r="A589" s="2"/>
      <c r="B589" s="2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3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>
      <c r="A590" s="2"/>
      <c r="B590" s="2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3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>
      <c r="A591" s="2"/>
      <c r="B591" s="2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3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>
      <c r="A592" s="2"/>
      <c r="B592" s="2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33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>
      <c r="A593" s="2"/>
      <c r="B593" s="2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3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>
      <c r="A594" s="2"/>
      <c r="B594" s="2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3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>
      <c r="A595" s="2"/>
      <c r="B595" s="2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3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>
      <c r="A596" s="2"/>
      <c r="B596" s="2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3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>
      <c r="A597" s="2"/>
      <c r="B597" s="2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3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>
      <c r="A598" s="2"/>
      <c r="B598" s="2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3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>
      <c r="A599" s="2"/>
      <c r="B599" s="2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3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>
      <c r="A600" s="2"/>
      <c r="B600" s="2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3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>
      <c r="A601" s="2"/>
      <c r="B601" s="2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3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>
      <c r="A602" s="2"/>
      <c r="B602" s="2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3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>
      <c r="A603" s="2"/>
      <c r="B603" s="2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3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>
      <c r="A604" s="2"/>
      <c r="B604" s="2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3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>
      <c r="A605" s="2"/>
      <c r="B605" s="2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3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>
      <c r="A606" s="2"/>
      <c r="B606" s="2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3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>
      <c r="A607" s="2"/>
      <c r="B607" s="2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3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>
      <c r="A608" s="2"/>
      <c r="B608" s="2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3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>
      <c r="A609" s="2"/>
      <c r="B609" s="2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3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>
      <c r="A610" s="2"/>
      <c r="B610" s="2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3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>
      <c r="A611" s="2"/>
      <c r="B611" s="2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3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>
      <c r="A612" s="2"/>
      <c r="B612" s="2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3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>
      <c r="A613" s="2"/>
      <c r="B613" s="2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3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>
      <c r="A614" s="2"/>
      <c r="B614" s="2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3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>
      <c r="A615" s="2"/>
      <c r="B615" s="2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3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>
      <c r="A616" s="2"/>
      <c r="B616" s="2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3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>
      <c r="A617" s="2"/>
      <c r="B617" s="2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3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>
      <c r="A618" s="2"/>
      <c r="B618" s="2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3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>
      <c r="A619" s="2"/>
      <c r="B619" s="2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3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>
      <c r="A620" s="2"/>
      <c r="B620" s="2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3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>
      <c r="A621" s="2"/>
      <c r="B621" s="2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3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>
      <c r="A622" s="2"/>
      <c r="B622" s="2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3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>
      <c r="A623" s="2"/>
      <c r="B623" s="2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3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>
      <c r="A624" s="2"/>
      <c r="B624" s="2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3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>
      <c r="A625" s="2"/>
      <c r="B625" s="2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33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>
      <c r="A626" s="2"/>
      <c r="B626" s="2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3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>
      <c r="A627" s="2"/>
      <c r="B627" s="2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3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>
      <c r="A628" s="2"/>
      <c r="B628" s="2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3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>
      <c r="A629" s="2"/>
      <c r="B629" s="2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3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>
      <c r="A630" s="2"/>
      <c r="B630" s="2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3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>
      <c r="A631" s="2"/>
      <c r="B631" s="2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3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>
      <c r="A632" s="2"/>
      <c r="B632" s="2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3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>
      <c r="A633" s="2"/>
      <c r="B633" s="2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3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>
      <c r="A634" s="2"/>
      <c r="B634" s="2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3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>
      <c r="A635" s="2"/>
      <c r="B635" s="2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3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>
      <c r="A636" s="2"/>
      <c r="B636" s="2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3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>
      <c r="A637" s="2"/>
      <c r="B637" s="2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3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>
      <c r="A638" s="2"/>
      <c r="B638" s="2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3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>
      <c r="A639" s="2"/>
      <c r="B639" s="2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3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>
      <c r="A640" s="2"/>
      <c r="B640" s="2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3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>
      <c r="A641" s="2"/>
      <c r="B641" s="2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3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>
      <c r="A642" s="2"/>
      <c r="B642" s="2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3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>
      <c r="A643" s="2"/>
      <c r="B643" s="2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3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>
      <c r="A644" s="2"/>
      <c r="B644" s="2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3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>
      <c r="A645" s="2"/>
      <c r="B645" s="2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3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>
      <c r="A646" s="2"/>
      <c r="B646" s="2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3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>
      <c r="A647" s="2"/>
      <c r="B647" s="2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3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>
      <c r="A648" s="2"/>
      <c r="B648" s="2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3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>
      <c r="A649" s="2"/>
      <c r="B649" s="2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3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>
      <c r="A650" s="2"/>
      <c r="B650" s="2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3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>
      <c r="A651" s="2"/>
      <c r="B651" s="2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3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>
      <c r="A652" s="2"/>
      <c r="B652" s="2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3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>
      <c r="A653" s="2"/>
      <c r="B653" s="2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3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>
      <c r="A654" s="2"/>
      <c r="B654" s="2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3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>
      <c r="A655" s="2"/>
      <c r="B655" s="2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3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>
      <c r="A656" s="2"/>
      <c r="B656" s="2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3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>
      <c r="A657" s="2"/>
      <c r="B657" s="2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3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>
      <c r="A658" s="2"/>
      <c r="B658" s="2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3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>
      <c r="A659" s="2"/>
      <c r="B659" s="2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3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>
      <c r="A660" s="2"/>
      <c r="B660" s="2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3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>
      <c r="A661" s="2"/>
      <c r="B661" s="2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3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>
      <c r="A662" s="2"/>
      <c r="B662" s="2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3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>
      <c r="A663" s="2"/>
      <c r="B663" s="2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3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>
      <c r="A664" s="2"/>
      <c r="B664" s="2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3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>
      <c r="A665" s="2"/>
      <c r="B665" s="2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3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>
      <c r="A666" s="2"/>
      <c r="B666" s="2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3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>
      <c r="A667" s="2"/>
      <c r="B667" s="2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3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>
      <c r="A668" s="2"/>
      <c r="B668" s="2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3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>
      <c r="A669" s="2"/>
      <c r="B669" s="2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3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>
      <c r="A670" s="2"/>
      <c r="B670" s="2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3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>
      <c r="A671" s="2"/>
      <c r="B671" s="2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3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>
      <c r="A672" s="2"/>
      <c r="B672" s="2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33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>
      <c r="A673" s="2"/>
      <c r="B673" s="2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3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>
      <c r="A674" s="2"/>
      <c r="B674" s="2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3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>
      <c r="A675" s="2"/>
      <c r="B675" s="2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3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>
      <c r="A676" s="2"/>
      <c r="B676" s="2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3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>
      <c r="A677" s="2"/>
      <c r="B677" s="2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3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>
      <c r="A678" s="2"/>
      <c r="B678" s="2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3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>
      <c r="A679" s="2"/>
      <c r="B679" s="2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3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>
      <c r="A680" s="2"/>
      <c r="B680" s="2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3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>
      <c r="A681" s="2"/>
      <c r="B681" s="2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3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>
      <c r="A682" s="2"/>
      <c r="B682" s="2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3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>
      <c r="A683" s="2"/>
      <c r="B683" s="2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3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>
      <c r="A684" s="2"/>
      <c r="B684" s="2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3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>
      <c r="A685" s="2"/>
      <c r="B685" s="2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3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>
      <c r="A686" s="2"/>
      <c r="B686" s="2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3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>
      <c r="A687" s="2"/>
      <c r="B687" s="2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3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>
      <c r="A688" s="2"/>
      <c r="B688" s="2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3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>
      <c r="A689" s="2"/>
      <c r="B689" s="2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3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>
      <c r="A690" s="2"/>
      <c r="B690" s="2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3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>
      <c r="A691" s="2"/>
      <c r="B691" s="2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3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>
      <c r="A692" s="2"/>
      <c r="B692" s="2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3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>
      <c r="A693" s="2"/>
      <c r="B693" s="2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3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>
      <c r="A694" s="2"/>
      <c r="B694" s="2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3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>
      <c r="A695" s="2"/>
      <c r="B695" s="2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3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>
      <c r="A696" s="2"/>
      <c r="B696" s="2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3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>
      <c r="A697" s="2"/>
      <c r="B697" s="2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3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>
      <c r="A698" s="2"/>
      <c r="B698" s="2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3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>
      <c r="A699" s="2"/>
      <c r="B699" s="2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3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>
      <c r="A700" s="2"/>
      <c r="B700" s="2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3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>
      <c r="A701" s="2"/>
      <c r="B701" s="2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3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>
      <c r="A702" s="2"/>
      <c r="B702" s="2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3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>
      <c r="A703" s="2"/>
      <c r="B703" s="2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3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>
      <c r="A704" s="2"/>
      <c r="B704" s="2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3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>
      <c r="A705" s="2"/>
      <c r="B705" s="2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3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>
      <c r="A706" s="2"/>
      <c r="B706" s="2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3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>
      <c r="A707" s="2"/>
      <c r="B707" s="2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3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>
      <c r="A708" s="2"/>
      <c r="B708" s="2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3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>
      <c r="A709" s="2"/>
      <c r="B709" s="2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3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>
      <c r="A710" s="2"/>
      <c r="B710" s="2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3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>
      <c r="A711" s="2"/>
      <c r="B711" s="2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33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>
      <c r="A712" s="2"/>
      <c r="B712" s="2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33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>
      <c r="A713" s="2"/>
      <c r="B713" s="2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33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>
      <c r="A714" s="2"/>
      <c r="B714" s="2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33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>
      <c r="A715" s="2"/>
      <c r="B715" s="2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33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>
      <c r="A716" s="2"/>
      <c r="B716" s="2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33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>
      <c r="A717" s="2"/>
      <c r="B717" s="2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33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>
      <c r="A718" s="2"/>
      <c r="B718" s="2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33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>
      <c r="A719" s="2"/>
      <c r="B719" s="2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33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>
      <c r="A720" s="2"/>
      <c r="B720" s="2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33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>
      <c r="A721" s="2"/>
      <c r="B721" s="2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33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>
      <c r="A722" s="2"/>
      <c r="B722" s="2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33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>
      <c r="A723" s="2"/>
      <c r="B723" s="2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33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>
      <c r="A724" s="2"/>
      <c r="B724" s="2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33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>
      <c r="A725" s="2"/>
      <c r="B725" s="2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33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>
      <c r="A726" s="2"/>
      <c r="B726" s="2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33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>
      <c r="A727" s="2"/>
      <c r="B727" s="2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33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>
      <c r="A728" s="2"/>
      <c r="B728" s="2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33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>
      <c r="A729" s="2"/>
      <c r="B729" s="2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33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>
      <c r="A730" s="2"/>
      <c r="B730" s="2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33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>
      <c r="A731" s="2"/>
      <c r="B731" s="2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33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>
      <c r="A732" s="2"/>
      <c r="B732" s="2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33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>
      <c r="A733" s="2"/>
      <c r="B733" s="2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33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>
      <c r="A734" s="2"/>
      <c r="B734" s="2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33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>
      <c r="A735" s="2"/>
      <c r="B735" s="2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33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>
      <c r="A736" s="2"/>
      <c r="B736" s="2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33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>
      <c r="A737" s="2"/>
      <c r="B737" s="2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33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>
      <c r="A738" s="2"/>
      <c r="B738" s="2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33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>
      <c r="A739" s="2"/>
      <c r="B739" s="2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33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>
      <c r="A740" s="2"/>
      <c r="B740" s="2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33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>
      <c r="A741" s="2"/>
      <c r="B741" s="2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33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>
      <c r="A742" s="2"/>
      <c r="B742" s="2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33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>
      <c r="A743" s="2"/>
      <c r="B743" s="2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33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>
      <c r="A744" s="2"/>
      <c r="B744" s="2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33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>
      <c r="A745" s="2"/>
      <c r="B745" s="2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33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>
      <c r="A746" s="2"/>
      <c r="B746" s="2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33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>
      <c r="A747" s="2"/>
      <c r="B747" s="2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33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>
      <c r="A748" s="2"/>
      <c r="B748" s="2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33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>
      <c r="A749" s="2"/>
      <c r="B749" s="2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33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>
      <c r="A750" s="2"/>
      <c r="B750" s="2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33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>
      <c r="A751" s="2"/>
      <c r="B751" s="2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33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>
      <c r="A752" s="2"/>
      <c r="B752" s="2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33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>
      <c r="A753" s="2"/>
      <c r="B753" s="2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33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>
      <c r="A754" s="2"/>
      <c r="B754" s="2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33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>
      <c r="A755" s="2"/>
      <c r="B755" s="2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33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>
      <c r="A756" s="2"/>
      <c r="B756" s="2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33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>
      <c r="A757" s="2"/>
      <c r="B757" s="2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33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>
      <c r="A758" s="2"/>
      <c r="B758" s="2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33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>
      <c r="A759" s="2"/>
      <c r="B759" s="2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33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>
      <c r="A760" s="2"/>
      <c r="B760" s="2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33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>
      <c r="A761" s="2"/>
      <c r="B761" s="2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33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>
      <c r="A762" s="2"/>
      <c r="B762" s="2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33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>
      <c r="A763" s="2"/>
      <c r="B763" s="2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33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>
      <c r="A764" s="2"/>
      <c r="B764" s="2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33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>
      <c r="A765" s="2"/>
      <c r="B765" s="2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33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>
      <c r="A766" s="2"/>
      <c r="B766" s="2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33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>
      <c r="A767" s="2"/>
      <c r="B767" s="2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33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>
      <c r="A768" s="2"/>
      <c r="B768" s="2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33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>
      <c r="A769" s="2"/>
      <c r="B769" s="2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33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>
      <c r="A770" s="2"/>
      <c r="B770" s="2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33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>
      <c r="A771" s="2"/>
      <c r="B771" s="2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33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>
      <c r="A772" s="2"/>
      <c r="B772" s="2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3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>
      <c r="A773" s="2"/>
      <c r="B773" s="2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33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>
      <c r="A774" s="2"/>
      <c r="B774" s="2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33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>
      <c r="A775" s="2"/>
      <c r="B775" s="2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33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>
      <c r="A776" s="2"/>
      <c r="B776" s="2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33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>
      <c r="A777" s="2"/>
      <c r="B777" s="2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33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>
      <c r="A778" s="2"/>
      <c r="B778" s="2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33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>
      <c r="A779" s="2"/>
      <c r="B779" s="2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33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>
      <c r="A780" s="2"/>
      <c r="B780" s="2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33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>
      <c r="A781" s="2"/>
      <c r="B781" s="2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33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>
      <c r="A782" s="2"/>
      <c r="B782" s="2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33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>
      <c r="A783" s="2"/>
      <c r="B783" s="2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33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>
      <c r="A784" s="2"/>
      <c r="B784" s="2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33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>
      <c r="A785" s="2"/>
      <c r="B785" s="2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33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>
      <c r="A786" s="2"/>
      <c r="B786" s="2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33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>
      <c r="A787" s="2"/>
      <c r="B787" s="2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33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>
      <c r="A788" s="2"/>
      <c r="B788" s="2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33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>
      <c r="A789" s="2"/>
      <c r="B789" s="2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33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>
      <c r="A790" s="2"/>
      <c r="B790" s="2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33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>
      <c r="A791" s="2"/>
      <c r="B791" s="2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33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>
      <c r="A792" s="2"/>
      <c r="B792" s="2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33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>
      <c r="A793" s="2"/>
      <c r="B793" s="2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33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>
      <c r="A794" s="2"/>
      <c r="B794" s="2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33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>
      <c r="A795" s="2"/>
      <c r="B795" s="2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33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>
      <c r="A796" s="2"/>
      <c r="B796" s="2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33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>
      <c r="A797" s="2"/>
      <c r="B797" s="2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33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>
      <c r="A798" s="2"/>
      <c r="B798" s="2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33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>
      <c r="A799" s="2"/>
      <c r="B799" s="2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33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>
      <c r="A800" s="2"/>
      <c r="B800" s="2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33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>
      <c r="A801" s="2"/>
      <c r="B801" s="2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33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>
      <c r="A802" s="2"/>
      <c r="B802" s="2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33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>
      <c r="A803" s="2"/>
      <c r="B803" s="2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33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>
      <c r="A804" s="2"/>
      <c r="B804" s="2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33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>
      <c r="A805" s="2"/>
      <c r="B805" s="2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33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>
      <c r="A806" s="2"/>
      <c r="B806" s="2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33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>
      <c r="A807" s="2"/>
      <c r="B807" s="2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33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>
      <c r="A808" s="2"/>
      <c r="B808" s="2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33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>
      <c r="A809" s="2"/>
      <c r="B809" s="2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33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>
      <c r="A810" s="2"/>
      <c r="B810" s="2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33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>
      <c r="A811" s="2"/>
      <c r="B811" s="2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33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>
      <c r="A812" s="2"/>
      <c r="B812" s="2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33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>
      <c r="A813" s="2"/>
      <c r="B813" s="2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33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>
      <c r="A814" s="2"/>
      <c r="B814" s="2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33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>
      <c r="A815" s="2"/>
      <c r="B815" s="2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33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>
      <c r="A816" s="2"/>
      <c r="B816" s="2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33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>
      <c r="A817" s="2"/>
      <c r="B817" s="2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33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>
      <c r="A818" s="2"/>
      <c r="B818" s="2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33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>
      <c r="A819" s="2"/>
      <c r="B819" s="2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33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>
      <c r="A820" s="2"/>
      <c r="B820" s="2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33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>
      <c r="A821" s="2"/>
      <c r="B821" s="2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33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>
      <c r="A822" s="2"/>
      <c r="B822" s="2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33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>
      <c r="A823" s="2"/>
      <c r="B823" s="2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33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>
      <c r="A824" s="2"/>
      <c r="B824" s="2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33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>
      <c r="A825" s="2"/>
      <c r="B825" s="2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33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>
      <c r="A826" s="2"/>
      <c r="B826" s="2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33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>
      <c r="A827" s="2"/>
      <c r="B827" s="2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33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>
      <c r="A828" s="2"/>
      <c r="B828" s="2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33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>
      <c r="A829" s="2"/>
      <c r="B829" s="2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33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>
      <c r="A830" s="2"/>
      <c r="B830" s="2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33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>
      <c r="A831" s="2"/>
      <c r="B831" s="2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33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>
      <c r="A832" s="2"/>
      <c r="B832" s="2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33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>
      <c r="A833" s="2"/>
      <c r="B833" s="2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33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>
      <c r="A834" s="2"/>
      <c r="B834" s="2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33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>
      <c r="A835" s="2"/>
      <c r="B835" s="2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33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>
      <c r="A836" s="2"/>
      <c r="B836" s="2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33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>
      <c r="A837" s="2"/>
      <c r="B837" s="2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33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>
      <c r="A838" s="2"/>
      <c r="B838" s="2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33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>
      <c r="A839" s="2"/>
      <c r="B839" s="2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33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>
      <c r="A840" s="2"/>
      <c r="B840" s="2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33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>
      <c r="A841" s="2"/>
      <c r="B841" s="2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33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>
      <c r="A842" s="2"/>
      <c r="B842" s="2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33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>
      <c r="A843" s="2"/>
      <c r="B843" s="2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33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>
      <c r="A844" s="2"/>
      <c r="B844" s="2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33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>
      <c r="A845" s="2"/>
      <c r="B845" s="2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33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>
      <c r="A846" s="2"/>
      <c r="B846" s="2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33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>
      <c r="A847" s="2"/>
      <c r="B847" s="2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33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>
      <c r="A848" s="2"/>
      <c r="B848" s="2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33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>
      <c r="A849" s="2"/>
      <c r="B849" s="2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33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>
      <c r="A850" s="2"/>
      <c r="B850" s="2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33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>
      <c r="A851" s="2"/>
      <c r="B851" s="2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33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>
      <c r="A852" s="2"/>
      <c r="B852" s="2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33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>
      <c r="A853" s="2"/>
      <c r="B853" s="2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33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>
      <c r="A854" s="2"/>
      <c r="B854" s="2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33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>
      <c r="A855" s="2"/>
      <c r="B855" s="2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33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>
      <c r="A856" s="2"/>
      <c r="B856" s="2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33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>
      <c r="A857" s="2"/>
      <c r="B857" s="2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33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>
      <c r="A858" s="2"/>
      <c r="B858" s="2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33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>
      <c r="A859" s="2"/>
      <c r="B859" s="2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33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>
      <c r="A860" s="2"/>
      <c r="B860" s="2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33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>
      <c r="A861" s="2"/>
      <c r="B861" s="2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33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>
      <c r="A862" s="2"/>
      <c r="B862" s="2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33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>
      <c r="A863" s="2"/>
      <c r="B863" s="2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33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>
      <c r="A864" s="2"/>
      <c r="B864" s="2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33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>
      <c r="A865" s="2"/>
      <c r="B865" s="2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33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>
      <c r="A866" s="2"/>
      <c r="B866" s="2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33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>
      <c r="A867" s="2"/>
      <c r="B867" s="2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33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>
      <c r="A868" s="2"/>
      <c r="B868" s="2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33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>
      <c r="A869" s="2"/>
      <c r="B869" s="2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33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>
      <c r="A870" s="2"/>
      <c r="B870" s="2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33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>
      <c r="A871" s="2"/>
      <c r="B871" s="2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33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>
      <c r="A872" s="2"/>
      <c r="B872" s="2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33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>
      <c r="A873" s="2"/>
      <c r="B873" s="2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33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>
      <c r="A874" s="2"/>
      <c r="B874" s="2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33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>
      <c r="A875" s="2"/>
      <c r="B875" s="2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33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>
      <c r="A876" s="2"/>
      <c r="B876" s="2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33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>
      <c r="A877" s="2"/>
      <c r="B877" s="2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33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>
      <c r="A878" s="2"/>
      <c r="B878" s="2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33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>
      <c r="A879" s="2"/>
      <c r="B879" s="2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33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>
      <c r="A880" s="2"/>
      <c r="B880" s="2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33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>
      <c r="A881" s="2"/>
      <c r="B881" s="2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33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>
      <c r="A882" s="2"/>
      <c r="B882" s="2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33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>
      <c r="A883" s="2"/>
      <c r="B883" s="2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33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>
      <c r="A884" s="2"/>
      <c r="B884" s="2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33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>
      <c r="A885" s="2"/>
      <c r="B885" s="2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33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>
      <c r="A886" s="2"/>
      <c r="B886" s="2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33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>
      <c r="A887" s="2"/>
      <c r="B887" s="2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33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>
      <c r="A888" s="2"/>
      <c r="B888" s="2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33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>
      <c r="A889" s="2"/>
      <c r="B889" s="2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33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>
      <c r="A890" s="2"/>
      <c r="B890" s="2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33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>
      <c r="A891" s="2"/>
      <c r="B891" s="2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33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>
      <c r="A892" s="2"/>
      <c r="B892" s="2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33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>
      <c r="A893" s="2"/>
      <c r="B893" s="2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33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>
      <c r="A894" s="2"/>
      <c r="B894" s="2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33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>
      <c r="A895" s="2"/>
      <c r="B895" s="2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33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>
      <c r="A896" s="2"/>
      <c r="B896" s="2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33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>
      <c r="A897" s="2"/>
      <c r="B897" s="2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33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>
      <c r="A898" s="2"/>
      <c r="B898" s="2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33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>
      <c r="A899" s="2"/>
      <c r="B899" s="2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33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>
      <c r="A900" s="2"/>
      <c r="B900" s="2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33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>
      <c r="A901" s="2"/>
      <c r="B901" s="2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33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>
      <c r="A902" s="2"/>
      <c r="B902" s="2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33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>
      <c r="A903" s="2"/>
      <c r="B903" s="2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33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>
      <c r="A904" s="2"/>
      <c r="B904" s="2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33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>
      <c r="A905" s="2"/>
      <c r="B905" s="2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33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>
      <c r="A906" s="2"/>
      <c r="B906" s="2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33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>
      <c r="A907" s="2"/>
      <c r="B907" s="2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33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>
      <c r="A908" s="2"/>
      <c r="B908" s="2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33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>
      <c r="A909" s="2"/>
      <c r="B909" s="2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33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>
      <c r="A910" s="2"/>
      <c r="B910" s="2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33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>
      <c r="A911" s="2"/>
      <c r="B911" s="2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33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>
      <c r="A912" s="2"/>
      <c r="B912" s="2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33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>
      <c r="A913" s="2"/>
      <c r="B913" s="2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33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>
      <c r="A914" s="2"/>
      <c r="B914" s="2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33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>
      <c r="A915" s="2"/>
      <c r="B915" s="2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33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>
      <c r="A916" s="2"/>
      <c r="B916" s="2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33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>
      <c r="A917" s="2"/>
      <c r="B917" s="2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33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>
      <c r="A918" s="2"/>
      <c r="B918" s="2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33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>
      <c r="A919" s="2"/>
      <c r="B919" s="2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33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>
      <c r="A920" s="2"/>
      <c r="B920" s="2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33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>
      <c r="A921" s="2"/>
      <c r="B921" s="2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33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>
      <c r="A922" s="2"/>
      <c r="B922" s="2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33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>
      <c r="A923" s="2"/>
      <c r="B923" s="2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33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>
      <c r="A924" s="2"/>
      <c r="B924" s="2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33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>
      <c r="A925" s="2"/>
      <c r="B925" s="2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33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>
      <c r="A926" s="2"/>
      <c r="B926" s="2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33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>
      <c r="A927" s="2"/>
      <c r="B927" s="2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33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>
      <c r="A928" s="2"/>
      <c r="B928" s="2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33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>
      <c r="A929" s="2"/>
      <c r="B929" s="2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33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>
      <c r="A930" s="2"/>
      <c r="B930" s="2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33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>
      <c r="A931" s="2"/>
      <c r="B931" s="2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33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>
      <c r="A932" s="2"/>
      <c r="B932" s="2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33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>
      <c r="A933" s="2"/>
      <c r="B933" s="2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33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>
      <c r="A934" s="2"/>
      <c r="B934" s="2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3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>
      <c r="A935" s="2"/>
      <c r="B935" s="2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33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>
      <c r="A936" s="2"/>
      <c r="B936" s="2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33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>
      <c r="A937" s="2"/>
      <c r="B937" s="2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33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>
      <c r="A938" s="2"/>
      <c r="B938" s="2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33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>
      <c r="A939" s="2"/>
      <c r="B939" s="2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33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>
      <c r="A940" s="2"/>
      <c r="B940" s="2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33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>
      <c r="A941" s="2"/>
      <c r="B941" s="2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33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>
      <c r="A942" s="2"/>
      <c r="B942" s="2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33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>
      <c r="A943" s="2"/>
      <c r="B943" s="2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33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>
      <c r="A944" s="2"/>
      <c r="B944" s="2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33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>
      <c r="A945" s="2"/>
      <c r="B945" s="2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33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>
      <c r="A946" s="2"/>
      <c r="B946" s="2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33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>
      <c r="A947" s="2"/>
      <c r="B947" s="2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33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>
      <c r="A948" s="2"/>
      <c r="B948" s="2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33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>
      <c r="A949" s="2"/>
      <c r="B949" s="2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33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>
      <c r="A950" s="2"/>
      <c r="B950" s="2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33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>
      <c r="A951" s="2"/>
      <c r="B951" s="2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33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>
      <c r="A952" s="2"/>
      <c r="B952" s="2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33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>
      <c r="A953" s="2"/>
      <c r="B953" s="2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33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>
      <c r="A954" s="2"/>
      <c r="B954" s="2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33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>
      <c r="A955" s="2"/>
      <c r="B955" s="2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33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>
      <c r="A956" s="2"/>
      <c r="B956" s="2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33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>
      <c r="A957" s="2"/>
      <c r="B957" s="2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33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>
      <c r="A958" s="2"/>
      <c r="B958" s="2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33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>
      <c r="A959" s="2"/>
      <c r="B959" s="2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33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>
      <c r="A960" s="2"/>
      <c r="B960" s="2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33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>
      <c r="A961" s="2"/>
      <c r="B961" s="2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33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>
      <c r="A962" s="2"/>
      <c r="B962" s="2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33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>
      <c r="A963" s="2"/>
      <c r="B963" s="2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33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>
      <c r="A964" s="2"/>
      <c r="B964" s="2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33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>
      <c r="A965" s="2"/>
      <c r="B965" s="2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33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>
      <c r="A966" s="2"/>
      <c r="B966" s="2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33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>
      <c r="A967" s="2"/>
      <c r="B967" s="2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33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>
      <c r="A968" s="2"/>
      <c r="B968" s="2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33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>
      <c r="A969" s="2"/>
      <c r="B969" s="2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33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>
      <c r="A970" s="2"/>
      <c r="B970" s="2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33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>
      <c r="A971" s="2"/>
      <c r="B971" s="2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33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>
      <c r="A972" s="2"/>
      <c r="B972" s="2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33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>
      <c r="A973" s="2"/>
      <c r="B973" s="2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33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>
      <c r="A974" s="2"/>
      <c r="B974" s="2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33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>
      <c r="A975" s="2"/>
      <c r="B975" s="2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33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>
      <c r="A976" s="2"/>
      <c r="B976" s="2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33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>
      <c r="A977" s="2"/>
      <c r="B977" s="2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33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>
      <c r="A978" s="2"/>
      <c r="B978" s="2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33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>
      <c r="A979" s="2"/>
      <c r="B979" s="2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33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>
      <c r="A980" s="2"/>
      <c r="B980" s="2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33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>
      <c r="A981" s="2"/>
      <c r="B981" s="2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33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>
      <c r="A982" s="2"/>
      <c r="B982" s="2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33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>
      <c r="A983" s="2"/>
      <c r="B983" s="2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33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>
      <c r="A984" s="2"/>
      <c r="B984" s="2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33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>
      <c r="A985" s="2"/>
      <c r="B985" s="2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33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>
      <c r="A986" s="2"/>
      <c r="B986" s="2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33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>
      <c r="A987" s="2"/>
      <c r="B987" s="2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33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>
      <c r="A988" s="2"/>
      <c r="B988" s="2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33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>
      <c r="A989" s="2"/>
      <c r="B989" s="2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33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>
      <c r="A990" s="2"/>
      <c r="B990" s="2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33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</sheetData>
  <mergeCells count="26">
    <mergeCell ref="AG4:AH4"/>
    <mergeCell ref="AI4:AK4"/>
    <mergeCell ref="AL4:AN4"/>
    <mergeCell ref="AR4:BK4"/>
    <mergeCell ref="BL4:BL5"/>
    <mergeCell ref="BM4:BM5"/>
    <mergeCell ref="AI1:AK1"/>
    <mergeCell ref="O2:AC2"/>
    <mergeCell ref="D4:F4"/>
    <mergeCell ref="G4:K4"/>
    <mergeCell ref="O4:Q4"/>
    <mergeCell ref="R4:AC4"/>
    <mergeCell ref="AD4:AF4"/>
    <mergeCell ref="W28:W31"/>
    <mergeCell ref="W45:W48"/>
    <mergeCell ref="W66:W70"/>
    <mergeCell ref="L52:L53"/>
    <mergeCell ref="L66:L70"/>
    <mergeCell ref="L88:L90"/>
    <mergeCell ref="L12:L13"/>
    <mergeCell ref="W12:W13"/>
    <mergeCell ref="L17:L20"/>
    <mergeCell ref="W17:W20"/>
    <mergeCell ref="G28:G31"/>
    <mergeCell ref="L28:L31"/>
    <mergeCell ref="L45:L48"/>
  </mergeCells>
  <dataValidations>
    <dataValidation type="list" allowBlank="1" showErrorMessage="1" sqref="BL8:BL32 BL35 BL38:BL74 BL77">
      <formula1>"Approval,During Adjust,Reject"</formula1>
    </dataValidation>
  </dataValidations>
  <hyperlinks>
    <hyperlink r:id="rId2" location="gid=517502677" ref="N17"/>
    <hyperlink r:id="rId3" location="gid=517502677" ref="N19"/>
    <hyperlink r:id="rId4" location="gid=667055179" ref="N49"/>
    <hyperlink r:id="rId5" location="gid=614568349" ref="A84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15.5"/>
    <col customWidth="1" min="4" max="4" width="10.63"/>
    <col customWidth="1" min="5" max="5" width="32.88"/>
  </cols>
  <sheetData>
    <row r="1">
      <c r="A1" s="390" t="s">
        <v>262</v>
      </c>
      <c r="B1" s="391"/>
      <c r="C1" s="391"/>
      <c r="D1" s="391"/>
      <c r="E1" s="391"/>
      <c r="F1" s="390" t="s">
        <v>263</v>
      </c>
      <c r="G1" s="14" t="s">
        <v>264</v>
      </c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</row>
    <row r="2">
      <c r="A2" s="392" t="s">
        <v>265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1"/>
      <c r="Q2" s="391"/>
      <c r="R2" s="391"/>
    </row>
    <row r="3">
      <c r="A3" s="394" t="s">
        <v>266</v>
      </c>
      <c r="B3" s="394" t="s">
        <v>267</v>
      </c>
      <c r="C3" s="394" t="s">
        <v>268</v>
      </c>
      <c r="D3" s="394" t="s">
        <v>269</v>
      </c>
      <c r="E3" s="394" t="s">
        <v>270</v>
      </c>
      <c r="F3" s="394" t="s">
        <v>271</v>
      </c>
      <c r="G3" s="394" t="s">
        <v>272</v>
      </c>
      <c r="H3" s="394" t="s">
        <v>273</v>
      </c>
      <c r="I3" s="394" t="s">
        <v>274</v>
      </c>
      <c r="J3" s="394" t="s">
        <v>275</v>
      </c>
      <c r="K3" s="394" t="s">
        <v>276</v>
      </c>
      <c r="L3" s="394" t="s">
        <v>277</v>
      </c>
      <c r="M3" s="394" t="s">
        <v>278</v>
      </c>
      <c r="N3" s="394" t="s">
        <v>279</v>
      </c>
      <c r="O3" s="394" t="s">
        <v>280</v>
      </c>
      <c r="P3" s="394" t="s">
        <v>281</v>
      </c>
      <c r="Q3" s="391"/>
      <c r="R3" s="391"/>
    </row>
    <row r="4">
      <c r="A4" s="395">
        <v>21830.46</v>
      </c>
      <c r="B4" s="395">
        <v>227552.62</v>
      </c>
      <c r="C4" s="395">
        <v>2535.75</v>
      </c>
      <c r="D4" s="395">
        <v>85758.1</v>
      </c>
      <c r="E4" s="395">
        <v>54260.16</v>
      </c>
      <c r="F4" s="395">
        <v>95172.45</v>
      </c>
      <c r="G4" s="395">
        <v>44969.07</v>
      </c>
      <c r="H4" s="396"/>
      <c r="I4" s="396"/>
      <c r="J4" s="395">
        <v>27994.61</v>
      </c>
      <c r="K4" s="395">
        <v>59985.08</v>
      </c>
      <c r="L4" s="396"/>
      <c r="M4" s="397"/>
      <c r="N4" s="397"/>
      <c r="O4" s="398"/>
      <c r="P4" s="395">
        <f>SUM(A4:O4)</f>
        <v>620058.3</v>
      </c>
      <c r="Q4" s="391"/>
      <c r="R4" s="391"/>
    </row>
    <row r="5">
      <c r="A5" s="391"/>
      <c r="B5" s="391"/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</row>
    <row r="6">
      <c r="A6" s="390" t="s">
        <v>282</v>
      </c>
      <c r="B6" s="391"/>
      <c r="C6" s="391"/>
      <c r="D6" s="399">
        <v>0.09</v>
      </c>
      <c r="E6" s="390" t="s">
        <v>283</v>
      </c>
      <c r="F6" s="391"/>
      <c r="G6" s="391"/>
      <c r="H6" s="391"/>
      <c r="I6" s="391"/>
      <c r="J6" s="391"/>
      <c r="K6" s="391"/>
      <c r="L6" s="391"/>
      <c r="M6" s="391"/>
      <c r="N6" s="391"/>
      <c r="O6" s="391"/>
      <c r="P6" s="391"/>
      <c r="Q6" s="391"/>
      <c r="R6" s="391"/>
    </row>
    <row r="7">
      <c r="A7" s="391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1"/>
      <c r="N7" s="391"/>
      <c r="O7" s="391"/>
      <c r="P7" s="391"/>
      <c r="Q7" s="391"/>
      <c r="R7" s="391"/>
    </row>
    <row r="8">
      <c r="A8" s="390" t="s">
        <v>282</v>
      </c>
      <c r="B8" s="391"/>
      <c r="C8" s="391"/>
      <c r="D8" s="400">
        <f>P4*D6</f>
        <v>55805.247</v>
      </c>
      <c r="E8" s="390" t="s">
        <v>284</v>
      </c>
      <c r="F8" s="391"/>
      <c r="G8" s="391"/>
      <c r="H8" s="391"/>
      <c r="I8" s="391"/>
      <c r="J8" s="391"/>
      <c r="K8" s="391"/>
      <c r="L8" s="391"/>
      <c r="M8" s="391"/>
      <c r="N8" s="391"/>
      <c r="O8" s="391"/>
      <c r="P8" s="391"/>
      <c r="Q8" s="391"/>
      <c r="R8" s="391"/>
    </row>
    <row r="9">
      <c r="A9" s="391"/>
      <c r="B9" s="391"/>
      <c r="C9" s="40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</row>
    <row r="10">
      <c r="A10" s="391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1"/>
    </row>
    <row r="11">
      <c r="A11" s="392" t="s">
        <v>285</v>
      </c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1"/>
      <c r="N11" s="391"/>
      <c r="O11" s="391"/>
      <c r="P11" s="391"/>
      <c r="Q11" s="391"/>
      <c r="R11" s="391"/>
    </row>
    <row r="12">
      <c r="A12" s="391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1"/>
      <c r="N12" s="391"/>
      <c r="O12" s="391"/>
      <c r="P12" s="391"/>
      <c r="Q12" s="391"/>
      <c r="R12" s="391"/>
    </row>
    <row r="13">
      <c r="A13" s="402" t="s">
        <v>286</v>
      </c>
      <c r="B13" s="402" t="s">
        <v>287</v>
      </c>
      <c r="C13" s="402" t="s">
        <v>288</v>
      </c>
      <c r="D13" s="402" t="s">
        <v>289</v>
      </c>
      <c r="E13" s="402" t="s">
        <v>281</v>
      </c>
      <c r="F13" s="391"/>
      <c r="G13" s="391"/>
      <c r="H13" s="391"/>
      <c r="I13" s="391"/>
      <c r="J13" s="391"/>
      <c r="K13" s="391"/>
      <c r="L13" s="391"/>
      <c r="M13" s="391"/>
      <c r="N13" s="391"/>
      <c r="O13" s="391"/>
      <c r="P13" s="391"/>
      <c r="Q13" s="391"/>
      <c r="R13" s="391"/>
    </row>
    <row r="14">
      <c r="A14" s="403">
        <v>90404.01</v>
      </c>
      <c r="B14" s="397"/>
      <c r="C14" s="403">
        <v>145.99</v>
      </c>
      <c r="D14" s="403">
        <v>38000.83</v>
      </c>
      <c r="E14" s="395">
        <f>SUM(A14:D14)</f>
        <v>128550.83</v>
      </c>
      <c r="F14" s="391"/>
      <c r="G14" s="391"/>
      <c r="H14" s="391"/>
      <c r="I14" s="391"/>
      <c r="J14" s="391"/>
      <c r="K14" s="391"/>
      <c r="L14" s="391"/>
      <c r="M14" s="391"/>
      <c r="N14" s="391"/>
      <c r="O14" s="391"/>
      <c r="P14" s="391"/>
      <c r="Q14" s="391"/>
      <c r="R14" s="391"/>
    </row>
    <row r="15">
      <c r="A15" s="391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1"/>
      <c r="N15" s="391"/>
      <c r="O15" s="391"/>
      <c r="P15" s="391"/>
      <c r="Q15" s="391"/>
      <c r="R15" s="391"/>
    </row>
    <row r="16">
      <c r="A16" s="391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1"/>
      <c r="N16" s="391"/>
      <c r="O16" s="391"/>
      <c r="P16" s="391"/>
      <c r="Q16" s="391"/>
      <c r="R16" s="391"/>
    </row>
    <row r="17">
      <c r="A17" s="390" t="s">
        <v>282</v>
      </c>
      <c r="B17" s="391"/>
      <c r="C17" s="391"/>
      <c r="D17" s="399">
        <v>0.07</v>
      </c>
      <c r="E17" s="390" t="s">
        <v>283</v>
      </c>
      <c r="F17" s="391"/>
      <c r="G17" s="391"/>
      <c r="H17" s="391"/>
      <c r="I17" s="391"/>
      <c r="J17" s="391"/>
      <c r="K17" s="391"/>
      <c r="L17" s="391"/>
      <c r="M17" s="391"/>
      <c r="N17" s="391"/>
      <c r="O17" s="391"/>
      <c r="P17" s="391"/>
      <c r="Q17" s="391"/>
      <c r="R17" s="391"/>
    </row>
    <row r="18">
      <c r="A18" s="391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</row>
    <row r="19">
      <c r="A19" s="390" t="s">
        <v>282</v>
      </c>
      <c r="B19" s="391"/>
      <c r="C19" s="391"/>
      <c r="D19" s="400">
        <f>E14*D17</f>
        <v>8998.5581</v>
      </c>
      <c r="E19" s="390" t="s">
        <v>284</v>
      </c>
      <c r="F19" s="391"/>
      <c r="G19" s="391"/>
      <c r="H19" s="391"/>
      <c r="I19" s="391"/>
      <c r="J19" s="391"/>
      <c r="K19" s="391"/>
      <c r="L19" s="391"/>
      <c r="M19" s="391"/>
      <c r="N19" s="391"/>
      <c r="O19" s="391"/>
      <c r="P19" s="391"/>
      <c r="Q19" s="391"/>
      <c r="R19" s="391"/>
    </row>
    <row r="20">
      <c r="A20" s="391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1"/>
      <c r="N20" s="391"/>
      <c r="O20" s="391"/>
      <c r="P20" s="391"/>
      <c r="Q20" s="391"/>
      <c r="R20" s="391"/>
    </row>
    <row r="21">
      <c r="A21" s="404" t="s">
        <v>290</v>
      </c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1"/>
      <c r="N21" s="391"/>
      <c r="O21" s="391"/>
      <c r="P21" s="391"/>
      <c r="Q21" s="391"/>
      <c r="R21" s="391"/>
    </row>
    <row r="22">
      <c r="A22" s="405" t="s">
        <v>291</v>
      </c>
      <c r="B22" s="406" t="s">
        <v>292</v>
      </c>
      <c r="C22" s="404" t="s">
        <v>293</v>
      </c>
      <c r="D22" s="391"/>
      <c r="E22" s="391"/>
      <c r="F22" s="391"/>
      <c r="G22" s="407"/>
      <c r="H22" s="407"/>
      <c r="I22" s="391"/>
      <c r="J22" s="391"/>
      <c r="K22" s="391"/>
      <c r="L22" s="391"/>
      <c r="M22" s="391"/>
      <c r="N22" s="391"/>
      <c r="O22" s="391"/>
      <c r="P22" s="391"/>
      <c r="Q22" s="391"/>
      <c r="R22" s="391"/>
    </row>
    <row r="23">
      <c r="A23" s="405" t="s">
        <v>151</v>
      </c>
      <c r="B23" s="406" t="s">
        <v>60</v>
      </c>
      <c r="C23" s="408"/>
      <c r="D23" s="391"/>
      <c r="E23" s="391"/>
      <c r="F23" s="391"/>
      <c r="G23" s="407"/>
      <c r="H23" s="407"/>
      <c r="I23" s="391"/>
      <c r="J23" s="391"/>
      <c r="K23" s="391"/>
      <c r="L23" s="391"/>
      <c r="M23" s="391"/>
      <c r="N23" s="391"/>
      <c r="O23" s="391"/>
      <c r="P23" s="391"/>
      <c r="Q23" s="391"/>
      <c r="R23" s="391"/>
    </row>
    <row r="24">
      <c r="A24" s="405" t="s">
        <v>151</v>
      </c>
      <c r="B24" s="406" t="s">
        <v>61</v>
      </c>
      <c r="C24" s="409"/>
      <c r="D24" s="391"/>
      <c r="E24" s="391"/>
      <c r="F24" s="391"/>
      <c r="G24" s="407"/>
      <c r="H24" s="407"/>
      <c r="I24" s="391"/>
      <c r="J24" s="391"/>
      <c r="K24" s="391"/>
      <c r="L24" s="391"/>
      <c r="M24" s="391"/>
      <c r="N24" s="391"/>
      <c r="O24" s="391"/>
      <c r="P24" s="391"/>
      <c r="Q24" s="391"/>
      <c r="R24" s="391"/>
    </row>
    <row r="25">
      <c r="A25" s="405" t="s">
        <v>151</v>
      </c>
      <c r="B25" s="406" t="s">
        <v>62</v>
      </c>
      <c r="C25" s="409"/>
      <c r="D25" s="391"/>
      <c r="E25" s="391"/>
      <c r="F25" s="391"/>
      <c r="G25" s="407"/>
      <c r="H25" s="407"/>
      <c r="I25" s="391"/>
      <c r="J25" s="391"/>
      <c r="K25" s="391"/>
      <c r="L25" s="391"/>
      <c r="M25" s="391"/>
      <c r="N25" s="391"/>
      <c r="O25" s="391"/>
      <c r="P25" s="391"/>
      <c r="Q25" s="391"/>
      <c r="R25" s="391"/>
    </row>
    <row r="26">
      <c r="A26" s="405" t="s">
        <v>151</v>
      </c>
      <c r="B26" s="406" t="s">
        <v>63</v>
      </c>
      <c r="C26" s="409">
        <v>757530.09</v>
      </c>
      <c r="D26" s="391"/>
      <c r="E26" s="391"/>
      <c r="F26" s="391"/>
      <c r="G26" s="407"/>
      <c r="H26" s="407"/>
      <c r="I26" s="391"/>
      <c r="J26" s="391"/>
      <c r="K26" s="391"/>
      <c r="L26" s="391"/>
      <c r="M26" s="391"/>
      <c r="N26" s="391"/>
      <c r="O26" s="391"/>
      <c r="P26" s="391"/>
      <c r="Q26" s="391"/>
      <c r="R26" s="391"/>
    </row>
    <row r="27">
      <c r="A27" s="405" t="s">
        <v>151</v>
      </c>
      <c r="B27" s="406" t="s">
        <v>64</v>
      </c>
      <c r="C27" s="409">
        <v>1322476.42</v>
      </c>
      <c r="D27" s="391"/>
      <c r="E27" s="391"/>
      <c r="F27" s="391"/>
      <c r="G27" s="407"/>
      <c r="H27" s="407"/>
      <c r="I27" s="391"/>
      <c r="J27" s="391"/>
      <c r="K27" s="391"/>
      <c r="L27" s="391"/>
      <c r="M27" s="391"/>
      <c r="N27" s="391"/>
      <c r="O27" s="391"/>
      <c r="P27" s="391"/>
      <c r="Q27" s="391"/>
      <c r="R27" s="391"/>
    </row>
    <row r="28">
      <c r="A28" s="405" t="s">
        <v>151</v>
      </c>
      <c r="B28" s="406" t="s">
        <v>65</v>
      </c>
      <c r="C28" s="409"/>
      <c r="D28" s="391"/>
      <c r="E28" s="391"/>
      <c r="F28" s="391"/>
      <c r="G28" s="407"/>
      <c r="H28" s="407"/>
      <c r="I28" s="391"/>
      <c r="J28" s="391"/>
      <c r="K28" s="391"/>
      <c r="L28" s="391"/>
      <c r="M28" s="391"/>
      <c r="N28" s="391"/>
      <c r="O28" s="391"/>
      <c r="P28" s="391"/>
      <c r="Q28" s="391"/>
      <c r="R28" s="391"/>
    </row>
    <row r="29">
      <c r="A29" s="405" t="s">
        <v>151</v>
      </c>
      <c r="B29" s="406" t="s">
        <v>66</v>
      </c>
      <c r="C29" s="408"/>
      <c r="D29" s="391"/>
      <c r="E29" s="391"/>
      <c r="F29" s="391"/>
      <c r="G29" s="407"/>
      <c r="H29" s="407"/>
      <c r="I29" s="391"/>
      <c r="J29" s="391"/>
      <c r="K29" s="391"/>
      <c r="L29" s="391"/>
      <c r="M29" s="391"/>
      <c r="N29" s="391"/>
      <c r="O29" s="391"/>
      <c r="P29" s="391"/>
      <c r="Q29" s="391"/>
      <c r="R29" s="391"/>
    </row>
    <row r="30">
      <c r="A30" s="405" t="s">
        <v>151</v>
      </c>
      <c r="B30" s="406" t="s">
        <v>64</v>
      </c>
      <c r="C30" s="408"/>
      <c r="D30" s="391"/>
      <c r="E30" s="391"/>
      <c r="F30" s="391"/>
      <c r="G30" s="407"/>
      <c r="H30" s="407"/>
      <c r="I30" s="391"/>
      <c r="J30" s="391"/>
      <c r="K30" s="391"/>
      <c r="L30" s="391"/>
      <c r="M30" s="391"/>
      <c r="N30" s="391"/>
      <c r="O30" s="391"/>
      <c r="P30" s="391"/>
      <c r="Q30" s="391"/>
      <c r="R30" s="391"/>
    </row>
    <row r="31">
      <c r="A31" s="405" t="s">
        <v>151</v>
      </c>
      <c r="B31" s="406" t="s">
        <v>67</v>
      </c>
      <c r="C31" s="409">
        <v>87979.69</v>
      </c>
      <c r="D31" s="391"/>
      <c r="E31" s="391"/>
      <c r="F31" s="391"/>
      <c r="G31" s="407"/>
      <c r="H31" s="407"/>
      <c r="I31" s="391"/>
      <c r="J31" s="391"/>
      <c r="K31" s="391"/>
      <c r="L31" s="391"/>
      <c r="M31" s="391"/>
      <c r="N31" s="391"/>
      <c r="O31" s="391"/>
      <c r="P31" s="391"/>
      <c r="Q31" s="391"/>
      <c r="R31" s="391"/>
    </row>
    <row r="32">
      <c r="A32" s="405" t="s">
        <v>151</v>
      </c>
      <c r="B32" s="406" t="s">
        <v>68</v>
      </c>
      <c r="C32" s="409">
        <v>90404.01</v>
      </c>
      <c r="D32" s="391"/>
      <c r="E32" s="391"/>
      <c r="F32" s="391"/>
      <c r="G32" s="407"/>
      <c r="H32" s="407"/>
      <c r="I32" s="391"/>
      <c r="J32" s="391"/>
      <c r="K32" s="391"/>
      <c r="L32" s="391"/>
      <c r="M32" s="391"/>
      <c r="N32" s="391"/>
      <c r="O32" s="391"/>
      <c r="P32" s="391"/>
      <c r="Q32" s="391"/>
      <c r="R32" s="391"/>
    </row>
    <row r="33">
      <c r="A33" s="405" t="s">
        <v>151</v>
      </c>
      <c r="B33" s="406" t="s">
        <v>69</v>
      </c>
      <c r="C33" s="408"/>
      <c r="D33" s="391"/>
      <c r="E33" s="391"/>
      <c r="F33" s="391"/>
      <c r="G33" s="407"/>
      <c r="H33" s="407"/>
      <c r="I33" s="391"/>
      <c r="J33" s="391"/>
      <c r="K33" s="391"/>
      <c r="L33" s="391"/>
      <c r="M33" s="391"/>
      <c r="N33" s="391"/>
      <c r="O33" s="391"/>
      <c r="P33" s="391"/>
      <c r="Q33" s="391"/>
      <c r="R33" s="391"/>
    </row>
    <row r="34">
      <c r="A34" s="405" t="s">
        <v>151</v>
      </c>
      <c r="B34" s="406" t="s">
        <v>70</v>
      </c>
      <c r="C34" s="409">
        <v>65588.67</v>
      </c>
      <c r="D34" s="391"/>
      <c r="E34" s="391"/>
      <c r="F34" s="391"/>
      <c r="G34" s="407"/>
      <c r="H34" s="407"/>
      <c r="I34" s="391"/>
      <c r="J34" s="391"/>
      <c r="K34" s="391"/>
      <c r="L34" s="391"/>
      <c r="M34" s="391"/>
      <c r="N34" s="391"/>
      <c r="O34" s="391"/>
      <c r="P34" s="391"/>
      <c r="Q34" s="391"/>
      <c r="R34" s="391"/>
    </row>
    <row r="35">
      <c r="A35" s="405" t="s">
        <v>151</v>
      </c>
      <c r="B35" s="406" t="s">
        <v>71</v>
      </c>
      <c r="C35" s="409">
        <v>31716.06</v>
      </c>
      <c r="D35" s="391"/>
      <c r="E35" s="391"/>
      <c r="F35" s="391"/>
      <c r="G35" s="407"/>
      <c r="H35" s="407"/>
      <c r="I35" s="391"/>
      <c r="J35" s="391"/>
      <c r="K35" s="391"/>
      <c r="L35" s="391"/>
      <c r="M35" s="391"/>
      <c r="N35" s="391"/>
      <c r="O35" s="391"/>
      <c r="P35" s="391"/>
      <c r="Q35" s="391"/>
      <c r="R35" s="391"/>
    </row>
    <row r="36">
      <c r="A36" s="405" t="s">
        <v>151</v>
      </c>
      <c r="B36" s="406" t="s">
        <v>72</v>
      </c>
      <c r="C36" s="410">
        <v>0.0</v>
      </c>
      <c r="D36" s="391"/>
      <c r="E36" s="391"/>
      <c r="F36" s="391"/>
      <c r="G36" s="407"/>
      <c r="H36" s="407"/>
      <c r="I36" s="391"/>
      <c r="J36" s="391"/>
      <c r="K36" s="391"/>
      <c r="L36" s="391"/>
      <c r="M36" s="391"/>
      <c r="N36" s="391"/>
      <c r="O36" s="391"/>
      <c r="P36" s="391"/>
      <c r="Q36" s="391"/>
      <c r="R36" s="391"/>
    </row>
    <row r="37">
      <c r="A37" s="411"/>
      <c r="B37" s="391"/>
      <c r="C37" s="391"/>
      <c r="D37" s="391"/>
      <c r="E37" s="391"/>
      <c r="F37" s="391"/>
      <c r="G37" s="407"/>
      <c r="H37" s="407"/>
      <c r="I37" s="391"/>
      <c r="J37" s="391"/>
      <c r="K37" s="391"/>
      <c r="L37" s="391"/>
      <c r="M37" s="391"/>
      <c r="N37" s="391"/>
      <c r="O37" s="391"/>
      <c r="P37" s="391"/>
      <c r="Q37" s="391"/>
      <c r="R37" s="391"/>
    </row>
    <row r="38">
      <c r="A38" s="411"/>
      <c r="B38" s="391"/>
      <c r="C38" s="391"/>
      <c r="D38" s="391"/>
      <c r="E38" s="391"/>
      <c r="F38" s="391"/>
      <c r="G38" s="407"/>
      <c r="H38" s="407"/>
      <c r="I38" s="391"/>
      <c r="J38" s="391"/>
      <c r="K38" s="391"/>
      <c r="L38" s="391"/>
      <c r="M38" s="391"/>
      <c r="N38" s="391"/>
      <c r="O38" s="391"/>
      <c r="P38" s="391"/>
      <c r="Q38" s="391"/>
      <c r="R38" s="391"/>
    </row>
    <row r="39">
      <c r="A39" s="411"/>
      <c r="B39" s="391"/>
      <c r="C39" s="391"/>
      <c r="D39" s="391"/>
      <c r="E39" s="391"/>
      <c r="F39" s="391"/>
      <c r="G39" s="407"/>
      <c r="H39" s="407"/>
      <c r="I39" s="391"/>
      <c r="J39" s="391"/>
      <c r="K39" s="391"/>
      <c r="L39" s="391"/>
      <c r="M39" s="391"/>
      <c r="N39" s="391"/>
      <c r="O39" s="391"/>
      <c r="P39" s="391"/>
      <c r="Q39" s="391"/>
      <c r="R39" s="391"/>
    </row>
    <row r="40">
      <c r="A40" s="411"/>
      <c r="B40" s="391"/>
      <c r="C40" s="391"/>
      <c r="D40" s="391"/>
      <c r="E40" s="391"/>
      <c r="F40" s="391"/>
      <c r="G40" s="407"/>
      <c r="H40" s="407"/>
      <c r="I40" s="391"/>
      <c r="J40" s="391"/>
      <c r="K40" s="391"/>
      <c r="L40" s="391"/>
      <c r="M40" s="391"/>
      <c r="N40" s="391"/>
      <c r="O40" s="391"/>
      <c r="P40" s="391"/>
      <c r="Q40" s="391"/>
      <c r="R40" s="391"/>
    </row>
    <row r="41">
      <c r="A41" s="411"/>
      <c r="B41" s="391"/>
      <c r="C41" s="391"/>
      <c r="D41" s="391"/>
      <c r="E41" s="391"/>
      <c r="F41" s="391"/>
      <c r="G41" s="407"/>
      <c r="H41" s="407"/>
      <c r="I41" s="391"/>
      <c r="J41" s="391"/>
      <c r="K41" s="391"/>
      <c r="L41" s="391"/>
      <c r="M41" s="391"/>
      <c r="N41" s="391"/>
      <c r="O41" s="391"/>
      <c r="P41" s="391"/>
      <c r="Q41" s="391"/>
      <c r="R41" s="391"/>
    </row>
    <row r="42">
      <c r="A42" s="411"/>
      <c r="B42" s="391"/>
      <c r="C42" s="391"/>
      <c r="D42" s="391"/>
      <c r="E42" s="391"/>
      <c r="F42" s="391"/>
      <c r="G42" s="407"/>
      <c r="H42" s="407"/>
      <c r="I42" s="391"/>
      <c r="J42" s="391"/>
      <c r="K42" s="391"/>
      <c r="L42" s="391"/>
      <c r="M42" s="391"/>
      <c r="N42" s="391"/>
      <c r="O42" s="391"/>
      <c r="P42" s="391"/>
      <c r="Q42" s="391"/>
      <c r="R42" s="391"/>
    </row>
    <row r="43">
      <c r="A43" s="411"/>
      <c r="B43" s="391"/>
      <c r="C43" s="391"/>
      <c r="D43" s="391"/>
      <c r="E43" s="391"/>
      <c r="F43" s="391"/>
      <c r="G43" s="407"/>
      <c r="H43" s="407"/>
      <c r="I43" s="391"/>
      <c r="J43" s="391"/>
      <c r="K43" s="391"/>
      <c r="L43" s="391"/>
      <c r="M43" s="391"/>
      <c r="N43" s="391"/>
      <c r="O43" s="391"/>
      <c r="P43" s="391"/>
      <c r="Q43" s="391"/>
      <c r="R43" s="391"/>
    </row>
    <row r="44">
      <c r="A44" s="411"/>
      <c r="B44" s="391"/>
      <c r="C44" s="391"/>
      <c r="D44" s="391"/>
      <c r="E44" s="391"/>
      <c r="F44" s="391"/>
      <c r="G44" s="407"/>
      <c r="H44" s="407"/>
      <c r="I44" s="391"/>
      <c r="J44" s="391"/>
      <c r="K44" s="391"/>
      <c r="L44" s="391"/>
      <c r="M44" s="391"/>
      <c r="N44" s="391"/>
      <c r="O44" s="391"/>
      <c r="P44" s="391"/>
      <c r="Q44" s="391"/>
      <c r="R44" s="391"/>
    </row>
    <row r="45">
      <c r="A45" s="411"/>
      <c r="B45" s="391"/>
      <c r="C45" s="391"/>
      <c r="D45" s="391"/>
      <c r="E45" s="391"/>
      <c r="F45" s="391"/>
      <c r="G45" s="407"/>
      <c r="H45" s="407"/>
      <c r="I45" s="391"/>
      <c r="J45" s="391"/>
      <c r="K45" s="391"/>
      <c r="L45" s="391"/>
      <c r="M45" s="391"/>
      <c r="N45" s="391"/>
      <c r="O45" s="391"/>
      <c r="P45" s="391"/>
      <c r="Q45" s="391"/>
      <c r="R45" s="391"/>
    </row>
    <row r="46">
      <c r="A46" s="411" t="s">
        <v>294</v>
      </c>
      <c r="B46" s="391"/>
      <c r="C46" s="391"/>
      <c r="D46" s="391"/>
      <c r="E46" s="391"/>
      <c r="F46" s="391"/>
      <c r="G46" s="407"/>
      <c r="H46" s="407"/>
      <c r="I46" s="391"/>
      <c r="J46" s="391"/>
      <c r="K46" s="391"/>
      <c r="L46" s="391"/>
      <c r="M46" s="391"/>
      <c r="N46" s="391"/>
      <c r="O46" s="391"/>
      <c r="P46" s="391"/>
      <c r="Q46" s="391"/>
      <c r="R46" s="391"/>
    </row>
    <row r="47">
      <c r="A47" s="412" t="s">
        <v>295</v>
      </c>
      <c r="B47" s="413" t="s">
        <v>296</v>
      </c>
      <c r="C47" s="414"/>
      <c r="D47" s="415"/>
      <c r="E47" s="413" t="s">
        <v>297</v>
      </c>
      <c r="F47" s="415"/>
      <c r="G47" s="416" t="s">
        <v>293</v>
      </c>
      <c r="H47" s="416" t="s">
        <v>298</v>
      </c>
      <c r="I47" s="416" t="s">
        <v>281</v>
      </c>
      <c r="J47" s="407"/>
      <c r="K47" s="407"/>
      <c r="L47" s="407"/>
      <c r="M47" s="407"/>
      <c r="N47" s="407"/>
      <c r="O47" s="407"/>
      <c r="P47" s="407"/>
      <c r="Q47" s="407"/>
      <c r="R47" s="407"/>
    </row>
    <row r="48">
      <c r="A48" s="417"/>
      <c r="B48" s="417"/>
      <c r="C48" s="418"/>
      <c r="D48" s="419"/>
      <c r="E48" s="417"/>
      <c r="F48" s="419"/>
      <c r="G48" s="420"/>
      <c r="H48" s="421">
        <v>0.0</v>
      </c>
      <c r="I48" s="422" t="s">
        <v>293</v>
      </c>
      <c r="J48" s="391"/>
      <c r="K48" s="391"/>
      <c r="L48" s="391"/>
      <c r="M48" s="391"/>
      <c r="N48" s="391"/>
      <c r="O48" s="391"/>
      <c r="P48" s="391"/>
      <c r="Q48" s="391"/>
      <c r="R48" s="391"/>
    </row>
    <row r="49">
      <c r="A49" s="423" t="s">
        <v>299</v>
      </c>
      <c r="B49" s="423" t="s">
        <v>300</v>
      </c>
      <c r="C49" s="391"/>
      <c r="D49" s="424"/>
      <c r="E49" s="425">
        <v>2.52114255E8</v>
      </c>
      <c r="F49" s="424"/>
      <c r="G49" s="426">
        <v>27994.61</v>
      </c>
      <c r="H49" s="427">
        <v>0.0</v>
      </c>
      <c r="I49" s="426">
        <f t="shared" ref="I49:I59" si="1">G49+H49</f>
        <v>27994.61</v>
      </c>
      <c r="J49" s="391"/>
      <c r="K49" s="391"/>
      <c r="L49" s="391"/>
      <c r="M49" s="391"/>
      <c r="N49" s="391"/>
      <c r="O49" s="391"/>
      <c r="P49" s="391"/>
      <c r="Q49" s="391"/>
      <c r="R49" s="391"/>
    </row>
    <row r="50">
      <c r="A50" s="423" t="s">
        <v>299</v>
      </c>
      <c r="B50" s="423" t="s">
        <v>301</v>
      </c>
      <c r="C50" s="391"/>
      <c r="D50" s="424"/>
      <c r="E50" s="425">
        <v>2.52383847E8</v>
      </c>
      <c r="F50" s="424"/>
      <c r="G50" s="426">
        <v>59985.08</v>
      </c>
      <c r="H50" s="427">
        <v>0.0</v>
      </c>
      <c r="I50" s="426">
        <f t="shared" si="1"/>
        <v>59985.08</v>
      </c>
      <c r="J50" s="391"/>
      <c r="K50" s="391"/>
      <c r="L50" s="391"/>
      <c r="M50" s="391"/>
      <c r="N50" s="391"/>
      <c r="O50" s="391"/>
      <c r="P50" s="391"/>
      <c r="Q50" s="391"/>
      <c r="R50" s="391"/>
    </row>
    <row r="51">
      <c r="A51" s="423" t="s">
        <v>302</v>
      </c>
      <c r="B51" s="423" t="s">
        <v>303</v>
      </c>
      <c r="C51" s="391"/>
      <c r="D51" s="424"/>
      <c r="E51" s="425" t="s">
        <v>304</v>
      </c>
      <c r="F51" s="424"/>
      <c r="G51" s="426">
        <v>71113.02</v>
      </c>
      <c r="H51" s="427">
        <v>0.0</v>
      </c>
      <c r="I51" s="426">
        <f t="shared" si="1"/>
        <v>71113.02</v>
      </c>
      <c r="J51" s="391"/>
      <c r="K51" s="391"/>
      <c r="L51" s="391"/>
      <c r="M51" s="391"/>
      <c r="N51" s="391"/>
      <c r="O51" s="391"/>
      <c r="P51" s="391"/>
      <c r="Q51" s="391"/>
      <c r="R51" s="391"/>
    </row>
    <row r="52">
      <c r="A52" s="423" t="s">
        <v>302</v>
      </c>
      <c r="B52" s="423" t="s">
        <v>303</v>
      </c>
      <c r="C52" s="391"/>
      <c r="D52" s="424"/>
      <c r="E52" s="425" t="s">
        <v>305</v>
      </c>
      <c r="F52" s="424"/>
      <c r="G52" s="426">
        <v>19290.99</v>
      </c>
      <c r="H52" s="427">
        <v>0.0</v>
      </c>
      <c r="I52" s="426">
        <f t="shared" si="1"/>
        <v>19290.99</v>
      </c>
      <c r="J52" s="391"/>
      <c r="K52" s="391"/>
      <c r="L52" s="391"/>
      <c r="M52" s="391"/>
      <c r="N52" s="391"/>
      <c r="O52" s="391"/>
      <c r="P52" s="391"/>
      <c r="Q52" s="391"/>
      <c r="R52" s="391"/>
    </row>
    <row r="53">
      <c r="A53" s="423" t="s">
        <v>63</v>
      </c>
      <c r="B53" s="423" t="s">
        <v>306</v>
      </c>
      <c r="C53" s="391"/>
      <c r="D53" s="424"/>
      <c r="E53" s="425" t="s">
        <v>307</v>
      </c>
      <c r="F53" s="424"/>
      <c r="G53" s="426">
        <v>65588.67</v>
      </c>
      <c r="H53" s="427">
        <v>0.0</v>
      </c>
      <c r="I53" s="426">
        <f t="shared" si="1"/>
        <v>65588.67</v>
      </c>
      <c r="J53" s="391"/>
      <c r="K53" s="391"/>
      <c r="L53" s="391"/>
      <c r="M53" s="391"/>
      <c r="N53" s="391"/>
      <c r="O53" s="391"/>
      <c r="P53" s="391"/>
      <c r="Q53" s="391"/>
      <c r="R53" s="391"/>
    </row>
    <row r="54">
      <c r="A54" s="423" t="s">
        <v>302</v>
      </c>
      <c r="B54" s="423" t="s">
        <v>308</v>
      </c>
      <c r="C54" s="391"/>
      <c r="D54" s="424"/>
      <c r="E54" s="425" t="s">
        <v>309</v>
      </c>
      <c r="F54" s="424"/>
      <c r="G54" s="426">
        <v>31716.06</v>
      </c>
      <c r="H54" s="427">
        <v>0.0</v>
      </c>
      <c r="I54" s="426">
        <f t="shared" si="1"/>
        <v>31716.06</v>
      </c>
      <c r="J54" s="391"/>
      <c r="K54" s="391"/>
      <c r="L54" s="391"/>
      <c r="M54" s="391"/>
      <c r="N54" s="391"/>
      <c r="O54" s="391"/>
      <c r="P54" s="391"/>
      <c r="Q54" s="391"/>
      <c r="R54" s="391"/>
    </row>
    <row r="55">
      <c r="A55" s="423" t="s">
        <v>64</v>
      </c>
      <c r="B55" s="423" t="s">
        <v>310</v>
      </c>
      <c r="C55" s="391"/>
      <c r="D55" s="424"/>
      <c r="E55" s="425">
        <v>5.0145544E7</v>
      </c>
      <c r="F55" s="424"/>
      <c r="G55" s="426">
        <v>26651.19</v>
      </c>
      <c r="H55" s="427">
        <v>0.0</v>
      </c>
      <c r="I55" s="426">
        <f t="shared" si="1"/>
        <v>26651.19</v>
      </c>
      <c r="J55" s="391"/>
      <c r="K55" s="391"/>
      <c r="L55" s="391"/>
      <c r="M55" s="391"/>
      <c r="N55" s="391"/>
      <c r="O55" s="391"/>
      <c r="P55" s="391"/>
      <c r="Q55" s="391"/>
      <c r="R55" s="391"/>
    </row>
    <row r="56">
      <c r="A56" s="423" t="s">
        <v>64</v>
      </c>
      <c r="B56" s="423" t="s">
        <v>311</v>
      </c>
      <c r="C56" s="391"/>
      <c r="D56" s="424"/>
      <c r="E56" s="425">
        <v>5.0142578E7</v>
      </c>
      <c r="F56" s="424"/>
      <c r="G56" s="426">
        <v>963084.11</v>
      </c>
      <c r="H56" s="427">
        <v>0.0</v>
      </c>
      <c r="I56" s="426">
        <f t="shared" si="1"/>
        <v>963084.11</v>
      </c>
      <c r="J56" s="391"/>
      <c r="K56" s="391"/>
      <c r="L56" s="391"/>
      <c r="M56" s="391"/>
      <c r="N56" s="391"/>
      <c r="O56" s="391"/>
      <c r="P56" s="391"/>
      <c r="Q56" s="391"/>
      <c r="R56" s="391"/>
    </row>
    <row r="57">
      <c r="A57" s="423" t="s">
        <v>64</v>
      </c>
      <c r="B57" s="423" t="s">
        <v>312</v>
      </c>
      <c r="C57" s="391"/>
      <c r="D57" s="424"/>
      <c r="E57" s="425">
        <v>5.0142568E7</v>
      </c>
      <c r="F57" s="424"/>
      <c r="G57" s="426">
        <v>42983.18</v>
      </c>
      <c r="H57" s="427">
        <v>0.0</v>
      </c>
      <c r="I57" s="426">
        <f t="shared" si="1"/>
        <v>42983.18</v>
      </c>
      <c r="J57" s="391"/>
      <c r="K57" s="391"/>
      <c r="L57" s="391"/>
      <c r="M57" s="391"/>
      <c r="N57" s="391"/>
      <c r="O57" s="391"/>
      <c r="P57" s="391"/>
      <c r="Q57" s="391"/>
      <c r="R57" s="391"/>
    </row>
    <row r="58">
      <c r="A58" s="423" t="s">
        <v>64</v>
      </c>
      <c r="B58" s="423" t="s">
        <v>313</v>
      </c>
      <c r="C58" s="391"/>
      <c r="D58" s="424"/>
      <c r="E58" s="425">
        <v>5.0142567E7</v>
      </c>
      <c r="F58" s="424"/>
      <c r="G58" s="426">
        <v>289757.94</v>
      </c>
      <c r="H58" s="427">
        <v>0.0</v>
      </c>
      <c r="I58" s="426">
        <f t="shared" si="1"/>
        <v>289757.94</v>
      </c>
      <c r="J58" s="391"/>
      <c r="K58" s="391"/>
      <c r="L58" s="391"/>
      <c r="M58" s="391"/>
      <c r="N58" s="391"/>
      <c r="O58" s="391"/>
      <c r="P58" s="391"/>
      <c r="Q58" s="391"/>
      <c r="R58" s="391"/>
    </row>
    <row r="59">
      <c r="A59" s="423" t="s">
        <v>64</v>
      </c>
      <c r="B59" s="423" t="s">
        <v>314</v>
      </c>
      <c r="C59" s="391"/>
      <c r="D59" s="424"/>
      <c r="E59" s="425" t="s">
        <v>315</v>
      </c>
      <c r="F59" s="424"/>
      <c r="G59" s="426">
        <v>757530.09</v>
      </c>
      <c r="H59" s="427">
        <v>0.0</v>
      </c>
      <c r="I59" s="426">
        <f t="shared" si="1"/>
        <v>757530.09</v>
      </c>
      <c r="J59" s="391"/>
      <c r="K59" s="391"/>
      <c r="L59" s="391"/>
      <c r="M59" s="391"/>
      <c r="N59" s="391"/>
      <c r="O59" s="391"/>
      <c r="P59" s="391"/>
      <c r="Q59" s="391"/>
      <c r="R59" s="391"/>
    </row>
    <row r="60">
      <c r="A60" s="428"/>
      <c r="B60" s="428"/>
      <c r="C60" s="429"/>
      <c r="D60" s="430"/>
      <c r="E60" s="428"/>
      <c r="F60" s="431" t="s">
        <v>281</v>
      </c>
      <c r="G60" s="432">
        <f t="shared" ref="G60:I60" si="2">SUM(G48:G59)</f>
        <v>2355694.94</v>
      </c>
      <c r="H60" s="432">
        <f t="shared" si="2"/>
        <v>0</v>
      </c>
      <c r="I60" s="432">
        <f t="shared" si="2"/>
        <v>2355694.94</v>
      </c>
      <c r="J60" s="407"/>
      <c r="K60" s="407"/>
      <c r="L60" s="407"/>
      <c r="M60" s="407"/>
      <c r="N60" s="407"/>
      <c r="O60" s="407"/>
      <c r="P60" s="407"/>
      <c r="Q60" s="407"/>
      <c r="R60" s="407"/>
    </row>
    <row r="61">
      <c r="A61" s="407"/>
      <c r="B61" s="407"/>
      <c r="C61" s="407"/>
      <c r="D61" s="407"/>
      <c r="E61" s="407"/>
      <c r="F61" s="407"/>
      <c r="G61" s="433"/>
      <c r="H61" s="407"/>
      <c r="I61" s="407"/>
      <c r="J61" s="407"/>
      <c r="K61" s="407"/>
      <c r="L61" s="407"/>
      <c r="M61" s="407"/>
      <c r="N61" s="407"/>
      <c r="O61" s="407"/>
      <c r="P61" s="407"/>
      <c r="Q61" s="407"/>
      <c r="R61" s="407"/>
    </row>
    <row r="62">
      <c r="A62" s="407"/>
      <c r="B62" s="407"/>
      <c r="C62" s="407"/>
      <c r="D62" s="407"/>
      <c r="E62" s="407"/>
      <c r="F62" s="434" t="s">
        <v>316</v>
      </c>
      <c r="G62" s="435">
        <f>D8+D19+I60</f>
        <v>2420498.745</v>
      </c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</row>
    <row r="63">
      <c r="A63" s="391"/>
      <c r="B63" s="391"/>
      <c r="C63" s="391"/>
      <c r="D63" s="391"/>
      <c r="E63" s="391"/>
      <c r="F63" s="391"/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</row>
    <row r="64">
      <c r="A64" s="391"/>
      <c r="B64" s="391"/>
      <c r="C64" s="391"/>
      <c r="D64" s="391"/>
      <c r="E64" s="391"/>
      <c r="F64" s="391"/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</row>
    <row r="65">
      <c r="A65" s="391"/>
      <c r="B65" s="391"/>
      <c r="C65" s="391"/>
      <c r="D65" s="391"/>
      <c r="E65" s="391"/>
      <c r="F65" s="391"/>
      <c r="G65" s="436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</row>
  </sheetData>
  <mergeCells count="2">
    <mergeCell ref="B47:D47"/>
    <mergeCell ref="E47:F47"/>
  </mergeCells>
  <drawing r:id="rId1"/>
</worksheet>
</file>